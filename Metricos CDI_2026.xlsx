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ERNANDEZ\Downloads\"/>
    </mc:Choice>
  </mc:AlternateContent>
  <xr:revisionPtr revIDLastSave="0" documentId="13_ncr:1_{BEA471DC-A260-4D67-B74C-C9B65939AD79}" xr6:coauthVersionLast="47" xr6:coauthVersionMax="47" xr10:uidLastSave="{00000000-0000-0000-0000-000000000000}"/>
  <bookViews>
    <workbookView xWindow="-110" yWindow="-110" windowWidth="25820" windowHeight="15500" xr2:uid="{E5E65B04-94E9-4764-8F77-D9002293A6B4}"/>
  </bookViews>
  <sheets>
    <sheet name="Hoja1" sheetId="1" r:id="rId1"/>
    <sheet name="Hoja2" sheetId="2" r:id="rId2"/>
  </sheets>
  <definedNames>
    <definedName name="_xlnm._FilterDatabase" localSheetId="0" hidden="1">Hoja1!$A$2:$R$85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JV. Velichcanich</author>
  </authors>
  <commentList>
    <comment ref="C13" authorId="0" shapeId="0" xr:uid="{8660FCC6-8084-4AD8-BFEE-5C983C7A866A}">
      <text>
        <r>
          <rPr>
            <b/>
            <sz val="9"/>
            <color indexed="81"/>
            <rFont val="Tahoma"/>
            <family val="2"/>
          </rPr>
          <t>Jorge JV. Velichcanich:</t>
        </r>
        <r>
          <rPr>
            <sz val="9"/>
            <color indexed="81"/>
            <rFont val="Tahoma"/>
            <family val="2"/>
          </rPr>
          <t xml:space="preserve">
Calculado en horas
Incapacidades + Faltas injustificadas</t>
        </r>
      </text>
    </comment>
    <comment ref="C14" authorId="0" shapeId="0" xr:uid="{A2B18DBC-8BB1-46DC-B016-421CC3F98A38}">
      <text>
        <r>
          <rPr>
            <b/>
            <sz val="9"/>
            <color indexed="81"/>
            <rFont val="Tahoma"/>
            <family val="2"/>
          </rPr>
          <t>Jorge JV. Velichcanich:</t>
        </r>
        <r>
          <rPr>
            <sz val="9"/>
            <color indexed="81"/>
            <rFont val="Tahoma"/>
            <family val="2"/>
          </rPr>
          <t xml:space="preserve">
Calculado en horas</t>
        </r>
      </text>
    </comment>
    <comment ref="C18" authorId="0" shapeId="0" xr:uid="{025FCB54-3C3B-4EC2-B2CA-78937E32AE6C}">
      <text>
        <r>
          <rPr>
            <b/>
            <sz val="9"/>
            <color indexed="81"/>
            <rFont val="Tahoma"/>
            <family val="2"/>
          </rPr>
          <t>Jorge JV. Velichcanich:</t>
        </r>
        <r>
          <rPr>
            <sz val="9"/>
            <color indexed="81"/>
            <rFont val="Tahoma"/>
            <family val="2"/>
          </rPr>
          <t xml:space="preserve">
Se debe inlcuir todo el entrenamiento que se haya programado y debe ser acumulado</t>
        </r>
      </text>
    </comment>
    <comment ref="R27" authorId="0" shapeId="0" xr:uid="{5D45B1DC-282C-4696-A49D-1D9F871BE6B1}">
      <text>
        <r>
          <rPr>
            <b/>
            <sz val="9"/>
            <color indexed="81"/>
            <rFont val="Tahoma"/>
            <family val="2"/>
          </rPr>
          <t>Jorge JV. Velichcanich:</t>
        </r>
        <r>
          <rPr>
            <sz val="9"/>
            <color indexed="81"/>
            <rFont val="Tahoma"/>
            <family val="2"/>
          </rPr>
          <t xml:space="preserve">
poner todos los datos y bajar meta 5%</t>
        </r>
      </text>
    </comment>
    <comment ref="C28" authorId="0" shapeId="0" xr:uid="{3466B762-9B18-433C-AA59-732EEB31DB8C}">
      <text>
        <r>
          <rPr>
            <b/>
            <sz val="9"/>
            <color indexed="81"/>
            <rFont val="Tahoma"/>
            <family val="2"/>
          </rPr>
          <t>Jorge JV. Velichcanich:</t>
        </r>
        <r>
          <rPr>
            <sz val="9"/>
            <color indexed="81"/>
            <rFont val="Tahoma"/>
            <family val="2"/>
          </rPr>
          <t xml:space="preserve">
Se divide TODO el material por el que nos pagan y que se recicla por alguien mas (scrap, carton, madera, etc) / TODO el desperdicio que se genero en el mes</t>
        </r>
      </text>
    </comment>
    <comment ref="C30" authorId="0" shapeId="0" xr:uid="{6C4E3E62-C81A-4B0A-9DA3-A4793E1C2770}">
      <text>
        <r>
          <rPr>
            <b/>
            <sz val="9"/>
            <color indexed="81"/>
            <rFont val="Tahoma"/>
            <family val="2"/>
          </rPr>
          <t>Jorge JV. Velichcanich:</t>
        </r>
        <r>
          <rPr>
            <sz val="9"/>
            <color indexed="81"/>
            <rFont val="Tahoma"/>
            <family val="2"/>
          </rPr>
          <t xml:space="preserve">
Cuanto se pago por que se lleven el despercicio / Valor de produccion financiero</t>
        </r>
      </text>
    </comment>
    <comment ref="C59" authorId="0" shapeId="0" xr:uid="{9A049D91-14FA-4ACA-8440-14429D2427A5}">
      <text>
        <r>
          <rPr>
            <b/>
            <sz val="9"/>
            <color indexed="81"/>
            <rFont val="Tahoma"/>
            <family val="2"/>
          </rPr>
          <t>Jorge JV. Velichcanich:</t>
        </r>
        <r>
          <rPr>
            <sz val="9"/>
            <color indexed="81"/>
            <rFont val="Tahoma"/>
            <family val="2"/>
          </rPr>
          <t xml:space="preserve">
Global TRS, separar L2 y Skyline</t>
        </r>
      </text>
    </comment>
    <comment ref="C75" authorId="0" shapeId="0" xr:uid="{C28FD89F-1BF4-40B1-8325-4BA540D07DFB}">
      <text>
        <r>
          <rPr>
            <b/>
            <sz val="9"/>
            <color indexed="81"/>
            <rFont val="Tahoma"/>
            <family val="2"/>
          </rPr>
          <t>Jorge JV. Velichcanich:</t>
        </r>
        <r>
          <rPr>
            <sz val="9"/>
            <color indexed="81"/>
            <rFont val="Tahoma"/>
            <family val="2"/>
          </rPr>
          <t xml:space="preserve">
TODO el desperdicio generado en el mes (scrap, bolsas, madera, carton, latas, basura general) / materia prima usada en mes</t>
        </r>
      </text>
    </comment>
    <comment ref="C83" authorId="0" shapeId="0" xr:uid="{0B510FDE-0CB7-43DA-B8FF-6608BBDD6DEE}">
      <text>
        <r>
          <rPr>
            <b/>
            <sz val="9"/>
            <color indexed="81"/>
            <rFont val="Tahoma"/>
            <family val="2"/>
          </rPr>
          <t>Jorge JV. Velichcanich:</t>
        </r>
        <r>
          <rPr>
            <sz val="9"/>
            <color indexed="81"/>
            <rFont val="Tahoma"/>
            <family val="2"/>
          </rPr>
          <t xml:space="preserve">
Se debe calcular </t>
        </r>
      </text>
    </comment>
  </commentList>
</comments>
</file>

<file path=xl/sharedStrings.xml><?xml version="1.0" encoding="utf-8"?>
<sst xmlns="http://schemas.openxmlformats.org/spreadsheetml/2006/main" count="199" uniqueCount="121">
  <si>
    <t>Numero de Metrico</t>
  </si>
  <si>
    <t>Nombre del Metrico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</si>
  <si>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</si>
  <si>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</si>
  <si>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</si>
  <si>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</si>
  <si>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</si>
  <si>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</si>
  <si>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</si>
  <si>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</si>
  <si>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</si>
  <si>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</si>
  <si>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</si>
  <si>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</si>
  <si>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Limite Amarillo</t>
  </si>
  <si>
    <t>Limite Verde</t>
  </si>
  <si>
    <t>Average number of Claim per month</t>
  </si>
  <si>
    <t>PPAP validated on time according to customer Planning</t>
  </si>
  <si>
    <t>Daily Service Rate (OTD Negociado)</t>
  </si>
  <si>
    <t>Number of PPAP validated under deviation</t>
  </si>
  <si>
    <t>Number of customer line stoppage</t>
  </si>
  <si>
    <t>Supplier Service Rate (otd)</t>
  </si>
  <si>
    <t>EBITDA</t>
  </si>
  <si>
    <t>Net Purchase index</t>
  </si>
  <si>
    <t>NCFD</t>
  </si>
  <si>
    <t>Number of customer claim due to supplier failure</t>
  </si>
  <si>
    <t>Absence rate A1</t>
  </si>
  <si>
    <t>Absence rate (ADT) Injustificadas</t>
  </si>
  <si>
    <t>Number of occupationnal incidents</t>
  </si>
  <si>
    <t xml:space="preserve">Number of Almost Incident </t>
  </si>
  <si>
    <t>Rotation Rate</t>
  </si>
  <si>
    <t>Training plan achievement rate</t>
  </si>
  <si>
    <t>Number of new customer</t>
  </si>
  <si>
    <t>Number of customer visit</t>
  </si>
  <si>
    <t>Quantity of RFQ Received per year</t>
  </si>
  <si>
    <t>RFQ in Demo target Market declined</t>
  </si>
  <si>
    <t xml:space="preserve">Awarded turnover </t>
  </si>
  <si>
    <t>Number of intitial offer answered to Customer</t>
  </si>
  <si>
    <t>Occupationnal Incident frequence rate (acumulada)</t>
  </si>
  <si>
    <t>Occupationnal Incident Severity rate (Tasa de Gravedad) mensual</t>
  </si>
  <si>
    <t>Electric Consumption per plastic tons transformed</t>
  </si>
  <si>
    <t>Sold waste ratio/ waste created</t>
  </si>
  <si>
    <t>Past due for Tooling due to refused PPAP</t>
  </si>
  <si>
    <t>Waste disposal cost/ production value</t>
  </si>
  <si>
    <t>Number of Improvment idea per Year per person</t>
  </si>
  <si>
    <t>Number of GRP closed per year</t>
  </si>
  <si>
    <t>Realized accepted improvment idea rate (Kaizen)</t>
  </si>
  <si>
    <t xml:space="preserve">CNQ </t>
  </si>
  <si>
    <t>CNQ AIR BAGS</t>
  </si>
  <si>
    <t>Percentage of scrap at Injection</t>
  </si>
  <si>
    <t>Percentage of scrap metallic paint</t>
  </si>
  <si>
    <t>CNQ LOW GLOSS</t>
  </si>
  <si>
    <t>SCRAP LOW GLOSS</t>
  </si>
  <si>
    <t>Injection TRP</t>
  </si>
  <si>
    <t>Assy TRP</t>
  </si>
  <si>
    <t>BFR PIEZAS</t>
  </si>
  <si>
    <t>BFR TOOLING</t>
  </si>
  <si>
    <t>Added Value per employee</t>
  </si>
  <si>
    <t>Number of Supplier Claim officialized</t>
  </si>
  <si>
    <t>Late paiment from customer (tooling excluded)</t>
  </si>
  <si>
    <t>Preventiv maintenance performed rate equipement</t>
  </si>
  <si>
    <t>MTBF Injection</t>
  </si>
  <si>
    <t>MTBF Peinture</t>
  </si>
  <si>
    <t>MTTR Injection</t>
  </si>
  <si>
    <t>MTTR peinture</t>
  </si>
  <si>
    <t>Rate of production down time due tool faiulre</t>
  </si>
  <si>
    <t>Repetitive failure on the same mold</t>
  </si>
  <si>
    <t>Target rate fullfilled</t>
  </si>
  <si>
    <t>Injection TRS</t>
  </si>
  <si>
    <t>Painting TRS</t>
  </si>
  <si>
    <t>Painting TRS skyline</t>
  </si>
  <si>
    <t>Assembly TRS</t>
  </si>
  <si>
    <t>Number of claim repetition</t>
  </si>
  <si>
    <t>Number of A claim</t>
  </si>
  <si>
    <t>LPA audit planning fullfilement</t>
  </si>
  <si>
    <t>IT Issues</t>
  </si>
  <si>
    <t>Number of calibration done within the planned month (% of calibration made on time)</t>
  </si>
  <si>
    <t>Number of internal claim created and treated within the month</t>
  </si>
  <si>
    <t>Rate of Raw Material Stock</t>
  </si>
  <si>
    <t>Rate of stock of Raw material Vs. Sales</t>
  </si>
  <si>
    <t>Rate of Stock of Finish Goods+WIP</t>
  </si>
  <si>
    <t>Rate of Finish Good Only</t>
  </si>
  <si>
    <t>Obsolescence Cost</t>
  </si>
  <si>
    <t>Premium Freight in</t>
  </si>
  <si>
    <t>Premium Freight Out</t>
  </si>
  <si>
    <t>Weight Waste Ratio (Waste tonnage/Raw material Tonnage)</t>
  </si>
  <si>
    <t>Project transferred to production according to planning on time</t>
  </si>
  <si>
    <t>Gate review done on time ratio (+/- 1 week)</t>
  </si>
  <si>
    <t>Monthly margin Followup/ deviation to initial Offer</t>
  </si>
  <si>
    <t>Internet Shutdown</t>
  </si>
  <si>
    <t>MTBF Assemblage</t>
  </si>
  <si>
    <t>MTTR Assemblage</t>
  </si>
  <si>
    <t>Open Position filling rate</t>
  </si>
  <si>
    <t>Number of recruiting failure</t>
  </si>
  <si>
    <t>Training satisfaction rate just after 1 week</t>
  </si>
  <si>
    <t>Training satisfaction rate just after 3 month</t>
  </si>
  <si>
    <t>Total 86 metricos</t>
  </si>
  <si>
    <t>44 metricos verde</t>
  </si>
  <si>
    <t>14 Metricos amarillo</t>
  </si>
  <si>
    <t>22 Metricos rojo</t>
  </si>
  <si>
    <t>RESULTADO 2026</t>
  </si>
  <si>
    <t>Metrico</t>
  </si>
  <si>
    <t>Resultado Enero 2026</t>
  </si>
  <si>
    <t>Resultado Febrero 2026</t>
  </si>
  <si>
    <t>Periodo</t>
  </si>
  <si>
    <t>Resultado</t>
  </si>
  <si>
    <t>Resultado Marzo 2026 (63)</t>
  </si>
  <si>
    <t>Proceso</t>
  </si>
  <si>
    <t>C04</t>
  </si>
  <si>
    <t>C03</t>
  </si>
  <si>
    <t>P01</t>
  </si>
  <si>
    <t>S01</t>
  </si>
  <si>
    <t>C02</t>
  </si>
  <si>
    <t>S10</t>
  </si>
  <si>
    <t>P02</t>
  </si>
  <si>
    <t>Number of customer logistic Claim</t>
  </si>
  <si>
    <t>S09</t>
  </si>
  <si>
    <t>S06</t>
  </si>
  <si>
    <t>S05</t>
  </si>
  <si>
    <t>Paint TRP</t>
  </si>
  <si>
    <t>CNQ HIGH GLOSS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</si>
</sst>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/>
    <xf numFmtId="0" fontId="4" fillId="0" borderId="0" applyBorder="0" applyProtection="0"/>
    <xf numFmtId="0" fontId="8" fillId="0" borderId="0"/>
  </cellStyleXfs>
  <cellXfs count="21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2" fontId="0" fillId="0" borderId="1" xfId="0" applyNumberFormat="1" applyBorder="1"/>
    <xf numFmtId="0" fontId="3" fillId="0" borderId="2" xfId="1" applyFont="1" applyBorder="1" applyAlignment="1">
      <alignment horizontal="right" wrapText="1"/>
    </xf>
    <xf numFmtId="0" fontId="3" fillId="0" borderId="3" xfId="1" applyFont="1" applyBorder="1" applyAlignment="1">
      <alignment horizontal="right" wrapText="1"/>
    </xf>
    <xf numFmtId="0" fontId="0" fillId="0" borderId="1" xfId="2" applyFont="1" applyBorder="1" applyAlignment="1" applyProtection="1">
      <alignment vertical="center" wrapText="1"/>
    </xf>
    <xf numFmtId="0" fontId="0" fillId="0" borderId="1" xfId="0" applyBorder="1" applyAlignment="1">
      <alignment wrapText="1"/>
    </xf>
    <xf numFmtId="0" fontId="0" fillId="0" borderId="1" xfId="2" applyFont="1" applyBorder="1" applyAlignment="1" applyProtection="1">
      <alignment horizontal="left" vertical="center"/>
    </xf>
    <xf numFmtId="0" fontId="3" fillId="3" borderId="4" xfId="1" applyFont="1" applyFill="1" applyBorder="1" applyAlignment="1">
      <alignment horizontal="center"/>
    </xf>
    <xf numFmtId="0" fontId="3" fillId="0" borderId="5" xfId="1" applyFont="1" applyBorder="1" applyAlignment="1">
      <alignment horizontal="right" wrapText="1"/>
    </xf>
    <xf numFmtId="0" fontId="3" fillId="0" borderId="1" xfId="1" applyFont="1" applyBorder="1" applyAlignment="1">
      <alignment horizontal="right" wrapText="1"/>
    </xf>
    <xf numFmtId="0" fontId="7" fillId="3" borderId="4" xfId="3" applyFont="1" applyFill="1" applyBorder="1" applyAlignment="1">
      <alignment horizontal="center"/>
    </xf>
    <xf numFmtId="0" fontId="7" fillId="0" borderId="3" xfId="3" applyFont="1" applyBorder="1" applyAlignment="1">
      <alignment horizontal="right" wrapText="1"/>
    </xf>
    <xf numFmtId="0" fontId="7" fillId="3" borderId="4" xfId="1" applyFont="1" applyFill="1" applyBorder="1" applyAlignment="1">
      <alignment horizontal="center"/>
    </xf>
    <xf numFmtId="2" fontId="0" fillId="4" borderId="1" xfId="0" applyNumberFormat="1" applyFill="1" applyBorder="1"/>
    <xf numFmtId="0" fontId="0" fillId="4" borderId="1" xfId="0" applyFill="1" applyBorder="1"/>
    <xf numFmtId="0" fontId="0" fillId="0" borderId="6" xfId="0" applyBorder="1"/>
    <xf numFmtId="0" fontId="1" fillId="0" borderId="0" xfId="0" applyFont="1" applyAlignment="1">
      <alignment horizontal="center"/>
    </xf>
  </cellXfs>
  <cellStyles count="4">
    <cellStyle name="Normal" xfId="0" builtinId="0"/>
    <cellStyle name="Normal_Hoja2" xfId="1" xr:uid="{9B09AA39-7F41-4FA8-B379-0AD0B12994D5}"/>
    <cellStyle name="Normal_Hoja2_1" xfId="3" xr:uid="{AE863146-2739-4CB0-A366-4049EA250D2B}"/>
    <cellStyle name="Normal_Plan strategique G3P 2002 2 2" xfId="2" xr:uid="{8392324D-A571-477E-BFFC-7E70104D30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2ECF-BFE9-4144-A142-08241FCEF06A}">
  <sheetPr>
    <pageSetUpPr fitToPage="1"/>
  </sheetPr>
  <dimension ref="A1:V92"/>
  <sheetViews>
    <sheetView tabSelected="1" zoomScale="130" zoomScaleNormal="130" workbookViewId="0">
      <pane xSplit="8" ySplit="12" topLeftCell="Q13" activePane="bottomRight" state="frozen"/>
      <selection pane="topRight" activeCell="H1" sqref="H1"/>
      <selection pane="bottomLeft" activeCell="A14" sqref="A14"/>
      <selection pane="bottomRight" activeCell="C92" sqref="C92"/>
    </sheetView>
  </sheetViews>
  <sheetFormatPr defaultColWidth="10.90625" defaultRowHeight="14.5" x14ac:dyDescent="0.35"/>
  <cols>
    <col min="1" max="1" width="16.90625" bestFit="1" customWidth="1"/>
    <col min="2" max="2" width="16.90625" customWidth="1"/>
    <col min="3" max="3" width="55.54296875" customWidth="1"/>
    <col min="8" max="8" width="7.1796875" customWidth="1"/>
    <col min="12" max="12" width="14.90625" customWidth="1"/>
    <col min="14" max="14" width="17.08984375" customWidth="1"/>
    <col min="15" max="15" width="16.36328125" customWidth="1"/>
    <col min="16" max="16" width="16.90625" customWidth="1"/>
    <col min="17" max="17" width="14.453125" customWidth="1"/>
    <col min="18" max="18" width="13.08984375" customWidth="1"/>
  </cols>
  <sheetData>
    <row r="1" spans="1:22" x14ac:dyDescent="0.35">
      <c r="Q1" s="20">
        <v>2026</v>
      </c>
      <c r="R1" s="20"/>
    </row>
    <row r="2" spans="1:22" ht="16.75" customHeight="1" x14ac:dyDescent="0.35">
      <c r="A2" s="1" t="s">
        <v>107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100</v>
      </c>
      <c r="Q2" s="1" t="s">
        <v>14</v>
      </c>
      <c r="R2" s="1" t="s">
        <v>15</v>
      </c>
    </row>
    <row r="3" spans="1:22" ht="21.65" customHeight="1" x14ac:dyDescent="0.35">
      <c r="A3" s="2" t="s">
        <v>108</v>
      </c>
      <c r="B3" s="2">
        <v>1030</v>
      </c>
      <c r="C3" s="3" t="s">
        <v>16</v>
      </c>
      <c r="D3" s="12">
        <v>2</v>
      </c>
      <c r="E3" s="4">
        <v>1</v>
      </c>
      <c r="F3" s="4">
        <v>5</v>
      </c>
      <c r="G3" s="13">
        <v>1</v>
      </c>
      <c r="H3" s="4"/>
      <c r="I3" s="4"/>
      <c r="J3" s="4"/>
      <c r="K3" s="4"/>
      <c r="L3" s="4"/>
      <c r="M3" s="4"/>
      <c r="N3" s="4"/>
      <c r="O3" s="4"/>
      <c r="P3" s="5">
        <f>SUM(D3:O3)/12</f>
        <v>0.75</v>
      </c>
      <c r="Q3" s="5">
        <v>1.4166666666666667</v>
      </c>
      <c r="R3" s="4">
        <v>1.25</v>
      </c>
      <c r="S3" s="6"/>
      <c r="T3" s="7"/>
      <c r="U3" s="7"/>
      <c r="V3" s="7"/>
    </row>
    <row r="4" spans="1:22" ht="27.65" customHeight="1" x14ac:dyDescent="0.35">
      <c r="A4" s="2" t="s">
        <v>109</v>
      </c>
      <c r="B4" s="2">
        <v>1080</v>
      </c>
      <c r="C4" s="8" t="s">
        <v>17</v>
      </c>
      <c r="D4" s="13">
        <v>100</v>
      </c>
      <c r="E4" s="4">
        <v>100</v>
      </c>
      <c r="F4" s="4">
        <v>100</v>
      </c>
      <c r="G4" s="13">
        <v>100</v>
      </c>
      <c r="H4" s="4"/>
      <c r="I4" s="4"/>
      <c r="J4" s="4"/>
      <c r="K4" s="4"/>
      <c r="L4" s="4"/>
      <c r="M4" s="4"/>
      <c r="N4" s="4"/>
      <c r="O4" s="4"/>
      <c r="P4" s="5">
        <f t="shared" ref="P4:P66" si="0">SUM(D4:O4)/12</f>
        <v>33.333333333333336</v>
      </c>
      <c r="Q4" s="5">
        <v>100</v>
      </c>
      <c r="R4" s="4">
        <v>100</v>
      </c>
      <c r="S4" s="6"/>
      <c r="T4" s="7"/>
      <c r="U4" s="7"/>
      <c r="V4" s="7"/>
    </row>
    <row r="5" spans="1:22" ht="25.75" customHeight="1" x14ac:dyDescent="0.35">
      <c r="A5" s="2" t="s">
        <v>108</v>
      </c>
      <c r="B5" s="2">
        <v>1095</v>
      </c>
      <c r="C5" s="3" t="s">
        <v>18</v>
      </c>
      <c r="D5" s="13">
        <v>99</v>
      </c>
      <c r="E5" s="4">
        <v>99.8</v>
      </c>
      <c r="F5" s="4">
        <v>100</v>
      </c>
      <c r="G5" s="13">
        <v>100</v>
      </c>
      <c r="H5" s="4"/>
      <c r="I5" s="4"/>
      <c r="J5" s="4"/>
      <c r="K5" s="4"/>
      <c r="L5" s="4"/>
      <c r="M5" s="4"/>
      <c r="N5" s="4"/>
      <c r="O5" s="4"/>
      <c r="P5" s="5">
        <f t="shared" si="0"/>
        <v>33.233333333333334</v>
      </c>
      <c r="Q5" s="5">
        <v>96.466666666666654</v>
      </c>
      <c r="R5" s="4">
        <v>99</v>
      </c>
      <c r="S5" s="6"/>
      <c r="T5" s="7"/>
      <c r="U5" s="7"/>
      <c r="V5" s="7"/>
    </row>
    <row r="6" spans="1:22" x14ac:dyDescent="0.35">
      <c r="A6" s="2" t="s">
        <v>108</v>
      </c>
      <c r="B6" s="2">
        <v>1100</v>
      </c>
      <c r="C6" s="8" t="s">
        <v>19</v>
      </c>
      <c r="D6" s="13">
        <v>0</v>
      </c>
      <c r="E6" s="4">
        <v>0</v>
      </c>
      <c r="F6" s="4">
        <v>0</v>
      </c>
      <c r="G6" s="13">
        <v>0</v>
      </c>
      <c r="H6" s="4"/>
      <c r="I6" s="4"/>
      <c r="J6" s="4"/>
      <c r="K6" s="4"/>
      <c r="L6" s="4"/>
      <c r="M6" s="4"/>
      <c r="N6" s="4"/>
      <c r="O6" s="4"/>
      <c r="P6" s="5">
        <f t="shared" si="0"/>
        <v>0</v>
      </c>
      <c r="Q6" s="5">
        <v>1</v>
      </c>
      <c r="R6" s="4">
        <v>0.95</v>
      </c>
      <c r="S6" s="6"/>
      <c r="T6" s="7"/>
      <c r="U6" s="7"/>
      <c r="V6" s="7"/>
    </row>
    <row r="7" spans="1:22" x14ac:dyDescent="0.35">
      <c r="A7" s="2" t="s">
        <v>108</v>
      </c>
      <c r="B7" s="2">
        <v>1140</v>
      </c>
      <c r="C7" s="3" t="s">
        <v>20</v>
      </c>
      <c r="D7" s="13">
        <v>0</v>
      </c>
      <c r="E7" s="4">
        <v>0</v>
      </c>
      <c r="F7" s="4">
        <v>0</v>
      </c>
      <c r="G7" s="13">
        <v>0</v>
      </c>
      <c r="H7" s="4"/>
      <c r="I7" s="4"/>
      <c r="J7" s="4"/>
      <c r="K7" s="4"/>
      <c r="L7" s="4"/>
      <c r="M7" s="4"/>
      <c r="N7" s="4"/>
      <c r="O7" s="4"/>
      <c r="P7" s="5">
        <f t="shared" si="0"/>
        <v>0</v>
      </c>
      <c r="Q7" s="5">
        <v>8.3333333333333329E-2</v>
      </c>
      <c r="R7" s="4">
        <v>0</v>
      </c>
      <c r="S7" s="6"/>
      <c r="T7" s="7"/>
      <c r="U7" s="7"/>
      <c r="V7" s="7"/>
    </row>
    <row r="8" spans="1:22" x14ac:dyDescent="0.35">
      <c r="A8" s="2" t="s">
        <v>111</v>
      </c>
      <c r="B8" s="2">
        <v>1200</v>
      </c>
      <c r="C8" s="4" t="s">
        <v>21</v>
      </c>
      <c r="D8" s="13">
        <v>100</v>
      </c>
      <c r="E8" s="4">
        <v>100</v>
      </c>
      <c r="F8" s="4">
        <v>100</v>
      </c>
      <c r="G8" s="13">
        <v>100</v>
      </c>
      <c r="H8" s="4"/>
      <c r="I8" s="4"/>
      <c r="J8" s="4"/>
      <c r="K8" s="4"/>
      <c r="L8" s="4"/>
      <c r="M8" s="4"/>
      <c r="N8" s="4"/>
      <c r="O8" s="4"/>
      <c r="P8" s="5">
        <f t="shared" si="0"/>
        <v>33.333333333333336</v>
      </c>
      <c r="Q8" s="5">
        <v>99.916666666666671</v>
      </c>
      <c r="R8" s="4">
        <v>99.95</v>
      </c>
      <c r="S8" s="6"/>
      <c r="T8" s="7"/>
      <c r="U8" s="7"/>
      <c r="V8" s="7"/>
    </row>
    <row r="9" spans="1:22" x14ac:dyDescent="0.35">
      <c r="A9" s="2" t="s">
        <v>110</v>
      </c>
      <c r="B9" s="2">
        <v>1401</v>
      </c>
      <c r="C9" s="4" t="s">
        <v>22</v>
      </c>
      <c r="D9" s="13">
        <v>338</v>
      </c>
      <c r="E9" s="4">
        <v>267</v>
      </c>
      <c r="F9" s="4">
        <v>220</v>
      </c>
      <c r="G9" s="13">
        <v>244</v>
      </c>
      <c r="H9" s="4"/>
      <c r="I9" s="4"/>
      <c r="J9" s="4"/>
      <c r="K9" s="4"/>
      <c r="L9" s="4"/>
      <c r="M9" s="4"/>
      <c r="N9" s="4"/>
      <c r="O9" s="4"/>
      <c r="P9" s="5">
        <f t="shared" si="0"/>
        <v>89.083333333333329</v>
      </c>
      <c r="Q9" s="5">
        <v>302.58333333333331</v>
      </c>
      <c r="R9" s="4"/>
      <c r="S9" s="6"/>
      <c r="T9" s="7"/>
      <c r="U9" s="7"/>
      <c r="V9" s="7"/>
    </row>
    <row r="10" spans="1:22" x14ac:dyDescent="0.35">
      <c r="A10" s="2" t="s">
        <v>111</v>
      </c>
      <c r="B10" s="2">
        <v>1402</v>
      </c>
      <c r="C10" s="4" t="s">
        <v>23</v>
      </c>
      <c r="D10" s="13">
        <v>97.94</v>
      </c>
      <c r="E10" s="4">
        <v>97.8</v>
      </c>
      <c r="F10" s="4">
        <v>97.1</v>
      </c>
      <c r="G10" s="13">
        <v>98.75</v>
      </c>
      <c r="H10" s="4"/>
      <c r="I10" s="4"/>
      <c r="J10" s="4"/>
      <c r="K10" s="4"/>
      <c r="L10" s="4"/>
      <c r="M10" s="4"/>
      <c r="N10" s="4"/>
      <c r="O10" s="4"/>
      <c r="P10" s="5">
        <f t="shared" si="0"/>
        <v>32.6325</v>
      </c>
      <c r="Q10" s="5">
        <v>93.979166666666671</v>
      </c>
      <c r="R10" s="4">
        <v>97</v>
      </c>
      <c r="S10" s="6"/>
      <c r="T10" s="7"/>
      <c r="U10" s="7"/>
      <c r="V10" s="7"/>
    </row>
    <row r="11" spans="1:22" x14ac:dyDescent="0.35">
      <c r="A11" s="2" t="s">
        <v>110</v>
      </c>
      <c r="B11" s="2">
        <v>1403</v>
      </c>
      <c r="C11" s="4" t="s">
        <v>24</v>
      </c>
      <c r="D11" s="13">
        <v>-404</v>
      </c>
      <c r="E11" s="4">
        <v>223</v>
      </c>
      <c r="F11" s="4">
        <v>-484</v>
      </c>
      <c r="G11" s="13">
        <v>-138</v>
      </c>
      <c r="H11" s="4"/>
      <c r="I11" s="4"/>
      <c r="J11" s="4"/>
      <c r="K11" s="4"/>
      <c r="L11" s="4"/>
      <c r="M11" s="4"/>
      <c r="N11" s="4"/>
      <c r="O11" s="4"/>
      <c r="P11" s="5">
        <f t="shared" si="0"/>
        <v>-66.916666666666671</v>
      </c>
      <c r="Q11" s="5">
        <v>358.83333333333331</v>
      </c>
      <c r="R11" s="4"/>
      <c r="S11" s="6"/>
      <c r="T11" s="7"/>
      <c r="U11" s="7"/>
      <c r="V11" s="7"/>
    </row>
    <row r="12" spans="1:22" x14ac:dyDescent="0.35">
      <c r="A12" s="2" t="s">
        <v>111</v>
      </c>
      <c r="B12" s="2">
        <v>1422</v>
      </c>
      <c r="C12" s="4" t="s">
        <v>25</v>
      </c>
      <c r="D12" s="13">
        <v>0</v>
      </c>
      <c r="E12" s="4">
        <v>0</v>
      </c>
      <c r="F12" s="4">
        <v>0</v>
      </c>
      <c r="G12" s="13">
        <v>0</v>
      </c>
      <c r="H12" s="4"/>
      <c r="I12" s="4"/>
      <c r="J12" s="4"/>
      <c r="K12" s="4"/>
      <c r="L12" s="4"/>
      <c r="M12" s="4"/>
      <c r="N12" s="4"/>
      <c r="O12" s="4"/>
      <c r="P12" s="5">
        <f t="shared" si="0"/>
        <v>0</v>
      </c>
      <c r="Q12" s="5">
        <v>8.3333333333333329E-2</v>
      </c>
      <c r="R12" s="4">
        <v>0</v>
      </c>
      <c r="S12" s="6"/>
      <c r="T12" s="7"/>
      <c r="U12" s="7"/>
      <c r="V12" s="7"/>
    </row>
    <row r="13" spans="1:22" x14ac:dyDescent="0.35">
      <c r="A13" s="2" t="s">
        <v>113</v>
      </c>
      <c r="B13" s="2">
        <v>2040</v>
      </c>
      <c r="C13" s="4" t="s">
        <v>26</v>
      </c>
      <c r="D13" s="13">
        <v>2.1</v>
      </c>
      <c r="E13" s="4">
        <v>2.09</v>
      </c>
      <c r="F13" s="4">
        <v>3</v>
      </c>
      <c r="G13" s="13">
        <v>3.58</v>
      </c>
      <c r="H13" s="4"/>
      <c r="I13" s="4"/>
      <c r="J13" s="4"/>
      <c r="K13" s="4"/>
      <c r="L13" s="4"/>
      <c r="M13" s="4"/>
      <c r="N13" s="4"/>
      <c r="O13" s="4"/>
      <c r="P13" s="5">
        <f t="shared" si="0"/>
        <v>0.89749999999999996</v>
      </c>
      <c r="Q13" s="5">
        <v>2.1683333333333334</v>
      </c>
      <c r="R13" s="4">
        <v>2</v>
      </c>
      <c r="S13" s="6"/>
      <c r="T13" s="7"/>
      <c r="U13" s="7"/>
      <c r="V13" s="7"/>
    </row>
    <row r="14" spans="1:22" x14ac:dyDescent="0.35">
      <c r="A14" s="2" t="s">
        <v>113</v>
      </c>
      <c r="B14" s="2">
        <v>2041</v>
      </c>
      <c r="C14" s="4" t="s">
        <v>27</v>
      </c>
      <c r="D14" s="13">
        <v>0.57999999999999996</v>
      </c>
      <c r="E14" s="4">
        <v>0.83</v>
      </c>
      <c r="F14" s="4">
        <v>0.74</v>
      </c>
      <c r="G14" s="13">
        <v>0.6</v>
      </c>
      <c r="H14" s="4"/>
      <c r="I14" s="4"/>
      <c r="J14" s="4"/>
      <c r="K14" s="4"/>
      <c r="L14" s="4"/>
      <c r="M14" s="4"/>
      <c r="N14" s="4"/>
      <c r="O14" s="4"/>
      <c r="P14" s="5">
        <f t="shared" si="0"/>
        <v>0.22916666666666666</v>
      </c>
      <c r="Q14" s="5">
        <v>0.63416666666666655</v>
      </c>
      <c r="R14" s="4">
        <v>0.55000000000000004</v>
      </c>
      <c r="S14" s="6"/>
      <c r="T14" s="7"/>
      <c r="U14" s="7"/>
      <c r="V14" s="7"/>
    </row>
    <row r="15" spans="1:22" x14ac:dyDescent="0.35">
      <c r="A15" s="2" t="s">
        <v>114</v>
      </c>
      <c r="B15" s="2">
        <v>2050</v>
      </c>
      <c r="C15" s="4" t="s">
        <v>28</v>
      </c>
      <c r="D15" s="13">
        <v>0</v>
      </c>
      <c r="E15" s="4">
        <v>0</v>
      </c>
      <c r="F15" s="4">
        <v>1</v>
      </c>
      <c r="G15" s="13">
        <v>0</v>
      </c>
      <c r="H15" s="4"/>
      <c r="I15" s="4"/>
      <c r="J15" s="4"/>
      <c r="K15" s="4"/>
      <c r="L15" s="4"/>
      <c r="M15" s="4"/>
      <c r="N15" s="4"/>
      <c r="O15" s="4"/>
      <c r="P15" s="5">
        <f t="shared" si="0"/>
        <v>8.3333333333333329E-2</v>
      </c>
      <c r="Q15" s="5">
        <v>0.25</v>
      </c>
      <c r="R15" s="4">
        <v>0</v>
      </c>
      <c r="S15" s="6"/>
      <c r="T15" s="7"/>
      <c r="U15" s="7"/>
      <c r="V15" s="7"/>
    </row>
    <row r="16" spans="1:22" x14ac:dyDescent="0.35">
      <c r="A16" s="2" t="s">
        <v>114</v>
      </c>
      <c r="B16" s="2">
        <v>2055</v>
      </c>
      <c r="C16" s="4" t="s">
        <v>29</v>
      </c>
      <c r="D16" s="13">
        <v>4</v>
      </c>
      <c r="E16" s="4">
        <v>4</v>
      </c>
      <c r="F16" s="4">
        <v>6</v>
      </c>
      <c r="G16" s="13">
        <v>4</v>
      </c>
      <c r="H16" s="4"/>
      <c r="I16" s="4"/>
      <c r="J16" s="4"/>
      <c r="K16" s="4"/>
      <c r="L16" s="4"/>
      <c r="M16" s="4"/>
      <c r="N16" s="4"/>
      <c r="O16" s="4"/>
      <c r="P16" s="5">
        <f t="shared" si="0"/>
        <v>1.5</v>
      </c>
      <c r="Q16" s="5">
        <v>3</v>
      </c>
      <c r="R16" s="4">
        <v>4</v>
      </c>
      <c r="S16" s="6"/>
      <c r="T16" s="7"/>
      <c r="U16" s="7"/>
      <c r="V16" s="7"/>
    </row>
    <row r="17" spans="1:22" x14ac:dyDescent="0.35">
      <c r="A17" s="2" t="s">
        <v>113</v>
      </c>
      <c r="B17" s="2">
        <v>2080</v>
      </c>
      <c r="C17" s="4" t="s">
        <v>30</v>
      </c>
      <c r="D17" s="13">
        <v>5.32</v>
      </c>
      <c r="E17" s="4">
        <v>4.1399999999999997</v>
      </c>
      <c r="F17" s="4">
        <v>4.5</v>
      </c>
      <c r="G17" s="13">
        <v>6.85</v>
      </c>
      <c r="H17" s="4"/>
      <c r="I17" s="4"/>
      <c r="J17" s="4"/>
      <c r="K17" s="4"/>
      <c r="L17" s="4"/>
      <c r="M17" s="4"/>
      <c r="N17" s="4"/>
      <c r="O17" s="4"/>
      <c r="P17" s="5">
        <f t="shared" si="0"/>
        <v>1.7341666666666669</v>
      </c>
      <c r="Q17" s="5">
        <v>5.3075000000000001</v>
      </c>
      <c r="R17" s="4">
        <v>4.5999999999999996</v>
      </c>
      <c r="S17" s="6"/>
      <c r="T17" s="7"/>
      <c r="U17" s="7"/>
      <c r="V17" s="7"/>
    </row>
    <row r="18" spans="1:22" x14ac:dyDescent="0.35">
      <c r="A18" s="2" t="s">
        <v>113</v>
      </c>
      <c r="B18" s="2">
        <v>2090</v>
      </c>
      <c r="C18" s="4" t="s">
        <v>31</v>
      </c>
      <c r="D18" s="13">
        <v>132.43</v>
      </c>
      <c r="E18" s="4">
        <v>139.22</v>
      </c>
      <c r="F18" s="4">
        <v>148.52000000000001</v>
      </c>
      <c r="G18" s="13">
        <v>148.36000000000001</v>
      </c>
      <c r="H18" s="4"/>
      <c r="I18" s="4"/>
      <c r="J18" s="4"/>
      <c r="K18" s="4"/>
      <c r="L18" s="4"/>
      <c r="M18" s="4"/>
      <c r="N18" s="4"/>
      <c r="O18" s="4"/>
      <c r="P18" s="5">
        <f t="shared" si="0"/>
        <v>47.377499999999998</v>
      </c>
      <c r="Q18" s="5">
        <v>88.352500000000006</v>
      </c>
      <c r="R18" s="4">
        <v>92</v>
      </c>
      <c r="S18" s="6"/>
      <c r="T18" s="7"/>
      <c r="U18" s="7"/>
      <c r="V18" s="7"/>
    </row>
    <row r="19" spans="1:22" x14ac:dyDescent="0.35">
      <c r="A19" s="2" t="s">
        <v>112</v>
      </c>
      <c r="B19" s="2">
        <v>2401</v>
      </c>
      <c r="C19" s="4" t="s">
        <v>32</v>
      </c>
      <c r="D19" s="13">
        <v>0</v>
      </c>
      <c r="E19" s="4">
        <v>0</v>
      </c>
      <c r="F19" s="4">
        <v>0</v>
      </c>
      <c r="G19" s="13">
        <v>0</v>
      </c>
      <c r="H19" s="4"/>
      <c r="I19" s="4"/>
      <c r="J19" s="4"/>
      <c r="K19" s="4"/>
      <c r="L19" s="4"/>
      <c r="M19" s="4"/>
      <c r="N19" s="4"/>
      <c r="O19" s="4"/>
      <c r="P19" s="5">
        <f t="shared" si="0"/>
        <v>0</v>
      </c>
      <c r="Q19" s="5">
        <v>0.5</v>
      </c>
      <c r="R19" s="4">
        <v>1</v>
      </c>
      <c r="S19" s="6"/>
      <c r="T19" s="7"/>
      <c r="U19" s="7"/>
      <c r="V19" s="7"/>
    </row>
    <row r="20" spans="1:22" x14ac:dyDescent="0.35">
      <c r="A20" s="2" t="s">
        <v>112</v>
      </c>
      <c r="B20" s="2">
        <v>2402</v>
      </c>
      <c r="C20" s="4" t="s">
        <v>33</v>
      </c>
      <c r="D20" s="13">
        <v>8</v>
      </c>
      <c r="E20" s="4">
        <v>6</v>
      </c>
      <c r="F20" s="4">
        <v>6</v>
      </c>
      <c r="G20" s="13">
        <v>6</v>
      </c>
      <c r="H20" s="4"/>
      <c r="I20" s="4"/>
      <c r="J20" s="4"/>
      <c r="K20" s="4"/>
      <c r="L20" s="4"/>
      <c r="M20" s="4"/>
      <c r="N20" s="4"/>
      <c r="O20" s="4"/>
      <c r="P20" s="5">
        <f t="shared" si="0"/>
        <v>2.1666666666666665</v>
      </c>
      <c r="Q20" s="5">
        <v>6</v>
      </c>
      <c r="R20" s="4">
        <v>8</v>
      </c>
      <c r="S20" s="6"/>
      <c r="T20" s="7"/>
      <c r="U20" s="7"/>
      <c r="V20" s="7"/>
    </row>
    <row r="21" spans="1:22" x14ac:dyDescent="0.35">
      <c r="A21" s="2" t="s">
        <v>112</v>
      </c>
      <c r="B21" s="2">
        <v>2403</v>
      </c>
      <c r="C21" s="4" t="s">
        <v>34</v>
      </c>
      <c r="D21" s="13">
        <v>13</v>
      </c>
      <c r="E21" s="4">
        <v>48</v>
      </c>
      <c r="F21" s="4">
        <v>22</v>
      </c>
      <c r="G21" s="13">
        <v>61</v>
      </c>
      <c r="H21" s="4"/>
      <c r="I21" s="4"/>
      <c r="J21" s="4"/>
      <c r="K21" s="4"/>
      <c r="L21" s="4"/>
      <c r="M21" s="4"/>
      <c r="N21" s="4"/>
      <c r="O21" s="4"/>
      <c r="P21" s="5">
        <f t="shared" si="0"/>
        <v>12</v>
      </c>
      <c r="Q21" s="5">
        <v>20</v>
      </c>
      <c r="R21" s="4">
        <v>25</v>
      </c>
      <c r="S21" s="6"/>
      <c r="T21" s="7"/>
      <c r="U21" s="7"/>
      <c r="V21" s="7"/>
    </row>
    <row r="22" spans="1:22" x14ac:dyDescent="0.35">
      <c r="A22" s="2" t="s">
        <v>112</v>
      </c>
      <c r="B22" s="2">
        <v>2404</v>
      </c>
      <c r="C22" s="4" t="s">
        <v>35</v>
      </c>
      <c r="D22" s="13">
        <v>4</v>
      </c>
      <c r="E22" s="4">
        <v>4</v>
      </c>
      <c r="F22" s="4">
        <v>0</v>
      </c>
      <c r="G22" s="13">
        <v>27</v>
      </c>
      <c r="H22" s="4"/>
      <c r="I22" s="4"/>
      <c r="J22" s="4"/>
      <c r="K22" s="4"/>
      <c r="L22" s="4"/>
      <c r="M22" s="4"/>
      <c r="N22" s="4"/>
      <c r="O22" s="4"/>
      <c r="P22" s="5">
        <f t="shared" si="0"/>
        <v>2.9166666666666665</v>
      </c>
      <c r="Q22" s="5">
        <v>3</v>
      </c>
      <c r="R22" s="4">
        <v>2.5</v>
      </c>
      <c r="S22" s="6"/>
      <c r="T22" s="7"/>
      <c r="U22" s="7"/>
      <c r="V22" s="7"/>
    </row>
    <row r="23" spans="1:22" x14ac:dyDescent="0.35">
      <c r="A23" s="2" t="s">
        <v>112</v>
      </c>
      <c r="B23" s="2">
        <v>2405</v>
      </c>
      <c r="C23" s="4" t="s">
        <v>36</v>
      </c>
      <c r="D23" s="13">
        <v>0</v>
      </c>
      <c r="E23" s="4">
        <v>0</v>
      </c>
      <c r="F23" s="4">
        <v>0</v>
      </c>
      <c r="G23" s="13">
        <v>0</v>
      </c>
      <c r="H23" s="4"/>
      <c r="I23" s="4"/>
      <c r="J23" s="4"/>
      <c r="K23" s="4"/>
      <c r="L23" s="4"/>
      <c r="M23" s="4"/>
      <c r="N23" s="4"/>
      <c r="O23" s="4"/>
      <c r="P23" s="5">
        <f t="shared" si="0"/>
        <v>0</v>
      </c>
      <c r="Q23" s="5">
        <v>606.70833333333337</v>
      </c>
      <c r="R23" s="4">
        <v>1000</v>
      </c>
      <c r="S23" s="6"/>
      <c r="T23" s="7"/>
      <c r="U23" s="7"/>
      <c r="V23" s="7"/>
    </row>
    <row r="24" spans="1:22" x14ac:dyDescent="0.35">
      <c r="A24" s="2" t="s">
        <v>112</v>
      </c>
      <c r="B24" s="2">
        <v>2410</v>
      </c>
      <c r="C24" s="4" t="s">
        <v>37</v>
      </c>
      <c r="D24" s="13">
        <v>6</v>
      </c>
      <c r="E24" s="4">
        <v>41</v>
      </c>
      <c r="F24" s="4">
        <v>28</v>
      </c>
      <c r="G24" s="13">
        <v>32</v>
      </c>
      <c r="H24" s="4"/>
      <c r="I24" s="4"/>
      <c r="J24" s="4"/>
      <c r="K24" s="4"/>
      <c r="L24" s="4"/>
      <c r="M24" s="4"/>
      <c r="N24" s="4"/>
      <c r="O24" s="4"/>
      <c r="P24" s="5">
        <f t="shared" si="0"/>
        <v>8.9166666666666661</v>
      </c>
      <c r="Q24" s="5">
        <v>20</v>
      </c>
      <c r="R24" s="4">
        <v>25</v>
      </c>
      <c r="S24" s="6"/>
      <c r="T24" s="7"/>
      <c r="U24" s="7"/>
      <c r="V24" s="7"/>
    </row>
    <row r="25" spans="1:22" x14ac:dyDescent="0.35">
      <c r="A25" s="2" t="s">
        <v>114</v>
      </c>
      <c r="B25" s="2">
        <v>2412</v>
      </c>
      <c r="C25" s="9" t="s">
        <v>38</v>
      </c>
      <c r="D25" s="13">
        <v>0</v>
      </c>
      <c r="E25" s="4">
        <v>0</v>
      </c>
      <c r="F25" s="4">
        <v>20.399999999999999</v>
      </c>
      <c r="G25" s="13">
        <v>0</v>
      </c>
      <c r="H25" s="4"/>
      <c r="I25" s="4"/>
      <c r="J25" s="4"/>
      <c r="K25" s="4"/>
      <c r="L25" s="4"/>
      <c r="M25" s="4"/>
      <c r="N25" s="4"/>
      <c r="O25" s="4"/>
      <c r="P25" s="5">
        <f t="shared" si="0"/>
        <v>1.7</v>
      </c>
      <c r="Q25" s="5">
        <v>5.6833333333333327</v>
      </c>
      <c r="R25" s="4">
        <v>0</v>
      </c>
      <c r="S25" s="6"/>
      <c r="T25" s="7"/>
      <c r="U25" s="7"/>
      <c r="V25" s="7"/>
    </row>
    <row r="26" spans="1:22" x14ac:dyDescent="0.35">
      <c r="A26" s="2" t="s">
        <v>114</v>
      </c>
      <c r="B26" s="2">
        <v>2413</v>
      </c>
      <c r="C26" s="9" t="s">
        <v>39</v>
      </c>
      <c r="D26" s="13">
        <v>0</v>
      </c>
      <c r="E26" s="4">
        <v>0</v>
      </c>
      <c r="F26" s="4">
        <v>0.06</v>
      </c>
      <c r="G26" s="13">
        <v>0.14000000000000001</v>
      </c>
      <c r="H26" s="4"/>
      <c r="I26" s="4"/>
      <c r="J26" s="4"/>
      <c r="K26" s="4"/>
      <c r="L26" s="4"/>
      <c r="M26" s="4"/>
      <c r="N26" s="4"/>
      <c r="O26" s="4"/>
      <c r="P26" s="5">
        <f t="shared" si="0"/>
        <v>1.6666666666666666E-2</v>
      </c>
      <c r="Q26" s="5">
        <v>6.6666666666666666E-2</v>
      </c>
      <c r="R26" s="4">
        <v>0</v>
      </c>
      <c r="S26" s="6"/>
      <c r="T26" s="7"/>
      <c r="U26" s="7"/>
      <c r="V26" s="7"/>
    </row>
    <row r="27" spans="1:22" x14ac:dyDescent="0.35">
      <c r="A27" s="2" t="s">
        <v>114</v>
      </c>
      <c r="B27" s="2">
        <v>2430</v>
      </c>
      <c r="C27" s="9" t="s">
        <v>40</v>
      </c>
      <c r="D27" s="13">
        <v>432</v>
      </c>
      <c r="E27" s="4">
        <v>444</v>
      </c>
      <c r="F27" s="4">
        <v>503</v>
      </c>
      <c r="G27" s="13">
        <v>442</v>
      </c>
      <c r="H27" s="4"/>
      <c r="I27" s="4"/>
      <c r="J27" s="4"/>
      <c r="K27" s="4"/>
      <c r="L27" s="4"/>
      <c r="M27" s="4"/>
      <c r="N27" s="4"/>
      <c r="O27" s="4"/>
      <c r="P27" s="5">
        <f t="shared" si="0"/>
        <v>151.75</v>
      </c>
      <c r="Q27" s="5">
        <v>525</v>
      </c>
      <c r="R27" s="4">
        <v>500</v>
      </c>
      <c r="S27" s="6"/>
      <c r="T27" s="7"/>
      <c r="U27" s="7"/>
      <c r="V27" s="7"/>
    </row>
    <row r="28" spans="1:22" x14ac:dyDescent="0.35">
      <c r="A28" s="2" t="s">
        <v>114</v>
      </c>
      <c r="B28" s="2">
        <v>2431</v>
      </c>
      <c r="C28" s="4" t="s">
        <v>41</v>
      </c>
      <c r="D28" s="13">
        <v>68</v>
      </c>
      <c r="E28" s="4">
        <v>0</v>
      </c>
      <c r="F28" s="4">
        <v>18.38</v>
      </c>
      <c r="G28" s="13">
        <v>0</v>
      </c>
      <c r="H28" s="4"/>
      <c r="I28" s="4"/>
      <c r="J28" s="4"/>
      <c r="K28" s="4"/>
      <c r="L28" s="4"/>
      <c r="M28" s="4"/>
      <c r="N28" s="4"/>
      <c r="O28" s="4"/>
      <c r="P28" s="5">
        <f t="shared" si="0"/>
        <v>7.1983333333333333</v>
      </c>
      <c r="Q28" s="17">
        <v>72.666666666666671</v>
      </c>
      <c r="R28" s="18">
        <v>82</v>
      </c>
      <c r="S28" s="6"/>
      <c r="T28" s="7"/>
      <c r="U28" s="7"/>
      <c r="V28" s="7"/>
    </row>
    <row r="29" spans="1:22" x14ac:dyDescent="0.35">
      <c r="A29" s="2" t="s">
        <v>112</v>
      </c>
      <c r="B29" s="2">
        <v>2432</v>
      </c>
      <c r="C29" s="4" t="s">
        <v>42</v>
      </c>
      <c r="D29" s="13">
        <v>127</v>
      </c>
      <c r="E29" s="4">
        <v>0</v>
      </c>
      <c r="F29" s="4">
        <v>0</v>
      </c>
      <c r="G29" s="13">
        <v>0</v>
      </c>
      <c r="H29" s="4"/>
      <c r="I29" s="4"/>
      <c r="J29" s="4"/>
      <c r="K29" s="4"/>
      <c r="L29" s="4"/>
      <c r="M29" s="4"/>
      <c r="N29" s="4"/>
      <c r="O29" s="4"/>
      <c r="P29" s="5">
        <f t="shared" si="0"/>
        <v>10.583333333333334</v>
      </c>
      <c r="Q29" s="5">
        <v>31.083333333333332</v>
      </c>
      <c r="R29" s="4">
        <v>10</v>
      </c>
      <c r="S29" s="6"/>
      <c r="T29" s="7"/>
      <c r="U29" s="7"/>
      <c r="V29" s="7"/>
    </row>
    <row r="30" spans="1:22" x14ac:dyDescent="0.35">
      <c r="A30" s="2" t="s">
        <v>114</v>
      </c>
      <c r="B30" s="2">
        <v>2433</v>
      </c>
      <c r="C30" s="4" t="s">
        <v>43</v>
      </c>
      <c r="D30" s="13">
        <v>8.7999999999999995E-2</v>
      </c>
      <c r="E30" s="4">
        <v>0.313</v>
      </c>
      <c r="F30" s="4">
        <v>0.48699999999999999</v>
      </c>
      <c r="G30" s="13">
        <v>0.35399999999999998</v>
      </c>
      <c r="H30" s="4"/>
      <c r="I30" s="4"/>
      <c r="J30" s="4"/>
      <c r="K30" s="4"/>
      <c r="L30" s="4"/>
      <c r="M30" s="4"/>
      <c r="N30" s="4"/>
      <c r="O30" s="4"/>
      <c r="P30" s="5">
        <f t="shared" si="0"/>
        <v>0.10349999999999999</v>
      </c>
      <c r="Q30" s="5">
        <v>5.8941666666666663E-2</v>
      </c>
      <c r="R30" s="4">
        <v>0.06</v>
      </c>
      <c r="S30" s="6"/>
      <c r="T30" s="7"/>
      <c r="U30" s="7"/>
      <c r="V30" s="7"/>
    </row>
    <row r="31" spans="1:22" x14ac:dyDescent="0.35">
      <c r="A31" s="2" t="s">
        <v>108</v>
      </c>
      <c r="B31" s="2">
        <v>4010</v>
      </c>
      <c r="C31" s="4" t="s">
        <v>44</v>
      </c>
      <c r="D31" s="13">
        <v>0.14000000000000001</v>
      </c>
      <c r="E31" s="4">
        <v>0.19</v>
      </c>
      <c r="F31" s="4">
        <v>0.41</v>
      </c>
      <c r="G31" s="13">
        <v>0.25</v>
      </c>
      <c r="H31" s="4"/>
      <c r="I31" s="4"/>
      <c r="J31" s="4"/>
      <c r="K31" s="4"/>
      <c r="L31" s="4"/>
      <c r="M31" s="4"/>
      <c r="N31" s="4"/>
      <c r="O31" s="4"/>
      <c r="P31" s="5">
        <f t="shared" si="0"/>
        <v>8.2500000000000004E-2</v>
      </c>
      <c r="Q31" s="17">
        <v>0.18166666666666664</v>
      </c>
      <c r="R31" s="18">
        <v>0.18</v>
      </c>
      <c r="S31" s="6"/>
      <c r="T31" s="7"/>
      <c r="U31" s="7"/>
      <c r="V31" s="7"/>
    </row>
    <row r="32" spans="1:22" x14ac:dyDescent="0.35">
      <c r="A32" s="2" t="s">
        <v>108</v>
      </c>
      <c r="B32" s="2">
        <v>4011</v>
      </c>
      <c r="C32" s="10" t="s">
        <v>45</v>
      </c>
      <c r="D32" s="13">
        <v>12</v>
      </c>
      <c r="E32" s="4">
        <v>19</v>
      </c>
      <c r="F32" s="4">
        <v>21</v>
      </c>
      <c r="G32" s="13">
        <v>23</v>
      </c>
      <c r="H32" s="4"/>
      <c r="I32" s="4"/>
      <c r="J32" s="4"/>
      <c r="K32" s="4"/>
      <c r="L32" s="4"/>
      <c r="M32" s="4"/>
      <c r="N32" s="4"/>
      <c r="O32" s="4"/>
      <c r="P32" s="5">
        <f t="shared" si="0"/>
        <v>6.25</v>
      </c>
      <c r="Q32" s="5">
        <v>13.333333333333334</v>
      </c>
      <c r="R32" s="4">
        <v>15</v>
      </c>
      <c r="S32" s="6"/>
      <c r="T32" s="7"/>
      <c r="U32" s="7"/>
      <c r="V32" s="7"/>
    </row>
    <row r="33" spans="1:22" x14ac:dyDescent="0.35">
      <c r="A33" s="2" t="s">
        <v>108</v>
      </c>
      <c r="B33" s="2">
        <v>4015</v>
      </c>
      <c r="C33" s="4" t="s">
        <v>46</v>
      </c>
      <c r="D33" s="13">
        <v>256</v>
      </c>
      <c r="E33" s="4">
        <v>246</v>
      </c>
      <c r="F33" s="4">
        <v>187</v>
      </c>
      <c r="G33" s="13">
        <v>152</v>
      </c>
      <c r="H33" s="4"/>
      <c r="I33" s="4"/>
      <c r="J33" s="4"/>
      <c r="K33" s="4"/>
      <c r="L33" s="4"/>
      <c r="M33" s="4"/>
      <c r="N33" s="4"/>
      <c r="O33" s="4"/>
      <c r="P33" s="5">
        <f t="shared" si="0"/>
        <v>70.083333333333329</v>
      </c>
      <c r="Q33" s="5">
        <v>167</v>
      </c>
      <c r="R33" s="4">
        <v>180</v>
      </c>
      <c r="S33" s="6"/>
      <c r="T33" s="7"/>
      <c r="U33" s="7"/>
      <c r="V33" s="7"/>
    </row>
    <row r="34" spans="1:22" x14ac:dyDescent="0.35">
      <c r="A34" s="2" t="s">
        <v>108</v>
      </c>
      <c r="B34" s="2">
        <v>4030</v>
      </c>
      <c r="C34" s="3" t="s">
        <v>47</v>
      </c>
      <c r="D34" s="13">
        <v>8.7200000000000006</v>
      </c>
      <c r="E34" s="4">
        <v>8.9</v>
      </c>
      <c r="F34" s="4">
        <v>10.14</v>
      </c>
      <c r="G34" s="13">
        <v>9.81</v>
      </c>
      <c r="H34" s="4"/>
      <c r="I34" s="4"/>
      <c r="J34" s="4"/>
      <c r="K34" s="4"/>
      <c r="L34" s="4"/>
      <c r="M34" s="4"/>
      <c r="N34" s="4"/>
      <c r="O34" s="4"/>
      <c r="P34" s="5">
        <f t="shared" si="0"/>
        <v>3.1308333333333334</v>
      </c>
      <c r="Q34" s="5">
        <v>9.6108333333333356</v>
      </c>
      <c r="R34" s="4">
        <v>8.5</v>
      </c>
      <c r="S34" s="6"/>
      <c r="T34" s="7"/>
      <c r="U34" s="7"/>
      <c r="V34" s="7"/>
    </row>
    <row r="35" spans="1:22" x14ac:dyDescent="0.35">
      <c r="A35" s="2" t="s">
        <v>108</v>
      </c>
      <c r="B35" s="2">
        <v>4031</v>
      </c>
      <c r="C35" s="3" t="s">
        <v>48</v>
      </c>
      <c r="D35" s="13">
        <v>7.88</v>
      </c>
      <c r="E35" s="4">
        <v>7.63</v>
      </c>
      <c r="F35" s="4">
        <v>5.99</v>
      </c>
      <c r="G35" s="13">
        <v>6.02</v>
      </c>
      <c r="H35" s="4"/>
      <c r="I35" s="4"/>
      <c r="J35" s="4"/>
      <c r="K35" s="4"/>
      <c r="L35" s="4"/>
      <c r="M35" s="4"/>
      <c r="N35" s="4"/>
      <c r="O35" s="4"/>
      <c r="P35" s="5">
        <f t="shared" si="0"/>
        <v>2.2933333333333334</v>
      </c>
      <c r="Q35" s="5">
        <v>7.8116666666666674</v>
      </c>
      <c r="R35" s="4">
        <v>6</v>
      </c>
      <c r="S35" s="6"/>
      <c r="T35" s="7"/>
      <c r="U35" s="7"/>
      <c r="V35" s="7"/>
    </row>
    <row r="36" spans="1:22" x14ac:dyDescent="0.35">
      <c r="A36" s="2" t="s">
        <v>108</v>
      </c>
      <c r="B36" s="2">
        <v>4032</v>
      </c>
      <c r="C36" s="3" t="s">
        <v>120</v>
      </c>
      <c r="D36" s="13">
        <v>15.73</v>
      </c>
      <c r="E36" s="4">
        <v>15.92</v>
      </c>
      <c r="F36" s="4">
        <v>17.3</v>
      </c>
      <c r="G36" s="13">
        <v>16.239999999999998</v>
      </c>
      <c r="H36" s="4"/>
      <c r="I36" s="4"/>
      <c r="J36" s="4"/>
      <c r="K36" s="4"/>
      <c r="L36" s="4"/>
      <c r="M36" s="4"/>
      <c r="N36" s="4"/>
      <c r="O36" s="4"/>
      <c r="P36" s="5">
        <f t="shared" si="0"/>
        <v>5.4325000000000001</v>
      </c>
      <c r="Q36" s="5">
        <v>18.977500000000003</v>
      </c>
      <c r="R36" s="4">
        <v>16</v>
      </c>
      <c r="S36" s="6"/>
      <c r="T36" s="7"/>
      <c r="U36" s="7"/>
      <c r="V36" s="7"/>
    </row>
    <row r="37" spans="1:22" x14ac:dyDescent="0.35">
      <c r="A37" s="2" t="s">
        <v>108</v>
      </c>
      <c r="B37" s="2">
        <v>4033</v>
      </c>
      <c r="C37" s="3" t="s">
        <v>49</v>
      </c>
      <c r="D37" s="13">
        <v>0.26</v>
      </c>
      <c r="E37" s="4">
        <v>0.24</v>
      </c>
      <c r="F37" s="4">
        <v>0.69</v>
      </c>
      <c r="G37" s="13">
        <v>0.21</v>
      </c>
      <c r="H37" s="4"/>
      <c r="I37" s="4"/>
      <c r="J37" s="4"/>
      <c r="K37" s="4"/>
      <c r="L37" s="4"/>
      <c r="M37" s="4"/>
      <c r="N37" s="4"/>
      <c r="O37" s="4"/>
      <c r="P37" s="5">
        <f t="shared" si="0"/>
        <v>0.11666666666666665</v>
      </c>
      <c r="Q37" s="5">
        <v>0.34583333333333327</v>
      </c>
      <c r="R37" s="4">
        <v>0.32</v>
      </c>
      <c r="S37" s="6"/>
      <c r="T37" s="7"/>
      <c r="U37" s="7"/>
      <c r="V37" s="7"/>
    </row>
    <row r="38" spans="1:22" x14ac:dyDescent="0.35">
      <c r="A38" s="2" t="s">
        <v>108</v>
      </c>
      <c r="B38" s="2">
        <v>4034</v>
      </c>
      <c r="C38" s="3" t="s">
        <v>50</v>
      </c>
      <c r="D38" s="13">
        <v>11.03</v>
      </c>
      <c r="E38" s="4">
        <v>11.42</v>
      </c>
      <c r="F38" s="4">
        <v>12.93</v>
      </c>
      <c r="G38" s="13">
        <v>7.44</v>
      </c>
      <c r="H38" s="4"/>
      <c r="I38" s="4"/>
      <c r="J38" s="4"/>
      <c r="K38" s="4"/>
      <c r="L38" s="4"/>
      <c r="M38" s="4"/>
      <c r="N38" s="4"/>
      <c r="O38" s="4"/>
      <c r="P38" s="5">
        <f t="shared" si="0"/>
        <v>3.5683333333333329</v>
      </c>
      <c r="Q38" s="5">
        <v>14.019166666666669</v>
      </c>
      <c r="R38" s="4">
        <v>12.5</v>
      </c>
      <c r="S38" s="6"/>
      <c r="T38" s="7"/>
      <c r="U38" s="7"/>
      <c r="V38" s="7"/>
    </row>
    <row r="39" spans="1:22" x14ac:dyDescent="0.35">
      <c r="A39" s="2" t="s">
        <v>108</v>
      </c>
      <c r="B39" s="2">
        <v>4035</v>
      </c>
      <c r="C39" s="3" t="s">
        <v>51</v>
      </c>
      <c r="D39" s="13">
        <v>4.6100000000000003</v>
      </c>
      <c r="E39" s="4">
        <v>5.54</v>
      </c>
      <c r="F39" s="4">
        <v>6.65</v>
      </c>
      <c r="G39" s="13">
        <v>5.68</v>
      </c>
      <c r="H39" s="4"/>
      <c r="I39" s="4"/>
      <c r="J39" s="4"/>
      <c r="K39" s="4"/>
      <c r="L39" s="4"/>
      <c r="M39" s="4"/>
      <c r="N39" s="4"/>
      <c r="O39" s="4"/>
      <c r="P39" s="5">
        <f t="shared" si="0"/>
        <v>1.8733333333333333</v>
      </c>
      <c r="Q39" s="5">
        <v>7.2041666666666657</v>
      </c>
      <c r="R39" s="4">
        <v>6</v>
      </c>
      <c r="S39" s="6"/>
      <c r="T39" s="7"/>
      <c r="U39" s="7"/>
      <c r="V39" s="7"/>
    </row>
    <row r="40" spans="1:22" x14ac:dyDescent="0.35">
      <c r="A40" s="2" t="s">
        <v>108</v>
      </c>
      <c r="B40" s="2">
        <v>4036</v>
      </c>
      <c r="C40" s="3" t="s">
        <v>52</v>
      </c>
      <c r="D40" s="13">
        <v>4.25</v>
      </c>
      <c r="E40" s="4">
        <v>5.13</v>
      </c>
      <c r="F40" s="4">
        <v>6.17</v>
      </c>
      <c r="G40" s="13">
        <v>3</v>
      </c>
      <c r="H40" s="4"/>
      <c r="I40" s="4"/>
      <c r="J40" s="4"/>
      <c r="K40" s="4"/>
      <c r="L40" s="4"/>
      <c r="M40" s="4"/>
      <c r="N40" s="4"/>
      <c r="O40" s="4"/>
      <c r="P40" s="5">
        <f t="shared" si="0"/>
        <v>1.5458333333333332</v>
      </c>
      <c r="Q40" s="5">
        <v>3.9299999999999997</v>
      </c>
      <c r="R40" s="4">
        <v>3.3</v>
      </c>
      <c r="S40" s="6"/>
      <c r="T40" s="7"/>
      <c r="U40" s="7"/>
      <c r="V40" s="7"/>
    </row>
    <row r="41" spans="1:22" x14ac:dyDescent="0.35">
      <c r="A41" s="2" t="s">
        <v>108</v>
      </c>
      <c r="B41" s="2">
        <v>4050</v>
      </c>
      <c r="C41" s="3" t="s">
        <v>53</v>
      </c>
      <c r="D41" s="13">
        <v>90.38</v>
      </c>
      <c r="E41" s="4">
        <v>86.6</v>
      </c>
      <c r="F41" s="4">
        <v>87.53</v>
      </c>
      <c r="G41" s="13">
        <v>90.61</v>
      </c>
      <c r="H41" s="4"/>
      <c r="I41" s="4"/>
      <c r="J41" s="4"/>
      <c r="K41" s="4"/>
      <c r="L41" s="4"/>
      <c r="M41" s="4"/>
      <c r="N41" s="4"/>
      <c r="O41" s="4"/>
      <c r="P41" s="5">
        <f t="shared" si="0"/>
        <v>29.593333333333334</v>
      </c>
      <c r="Q41" s="5">
        <v>89.847500000000011</v>
      </c>
      <c r="R41" s="4">
        <v>91</v>
      </c>
      <c r="S41" s="6"/>
      <c r="T41" s="7"/>
      <c r="U41" s="7"/>
      <c r="V41" s="7"/>
    </row>
    <row r="42" spans="1:22" x14ac:dyDescent="0.35">
      <c r="A42" s="2" t="s">
        <v>108</v>
      </c>
      <c r="B42" s="2">
        <v>4051</v>
      </c>
      <c r="C42" s="3" t="s">
        <v>54</v>
      </c>
      <c r="D42" s="13">
        <v>63</v>
      </c>
      <c r="E42" s="4">
        <v>63</v>
      </c>
      <c r="F42" s="4">
        <v>62</v>
      </c>
      <c r="G42" s="13">
        <v>66</v>
      </c>
      <c r="H42" s="4"/>
      <c r="I42" s="4"/>
      <c r="J42" s="4"/>
      <c r="K42" s="4"/>
      <c r="L42" s="4"/>
      <c r="M42" s="4"/>
      <c r="N42" s="4"/>
      <c r="O42" s="4"/>
      <c r="P42" s="5">
        <f t="shared" si="0"/>
        <v>21.166666666666668</v>
      </c>
      <c r="Q42" s="5">
        <v>64.666666666666671</v>
      </c>
      <c r="R42" s="4">
        <v>67</v>
      </c>
      <c r="S42" s="6"/>
      <c r="T42" s="7"/>
      <c r="U42" s="7"/>
      <c r="V42" s="7"/>
    </row>
    <row r="43" spans="1:22" x14ac:dyDescent="0.35">
      <c r="A43" s="2" t="s">
        <v>108</v>
      </c>
      <c r="B43" s="2">
        <v>4052</v>
      </c>
      <c r="C43" s="3" t="s">
        <v>119</v>
      </c>
      <c r="D43" s="13">
        <v>63</v>
      </c>
      <c r="E43" s="4">
        <v>62</v>
      </c>
      <c r="F43" s="4">
        <v>64.5</v>
      </c>
      <c r="G43" s="13">
        <v>66.5</v>
      </c>
      <c r="H43" s="4"/>
      <c r="I43" s="4"/>
      <c r="J43" s="4"/>
      <c r="K43" s="4"/>
      <c r="L43" s="4"/>
      <c r="M43" s="4"/>
      <c r="N43" s="4"/>
      <c r="O43" s="4"/>
      <c r="P43" s="5">
        <f t="shared" si="0"/>
        <v>21.333333333333332</v>
      </c>
      <c r="Q43" s="5">
        <v>63.541666666666664</v>
      </c>
      <c r="R43" s="4">
        <v>68</v>
      </c>
      <c r="S43" s="6"/>
      <c r="T43" s="7"/>
      <c r="U43" s="7"/>
      <c r="V43" s="7"/>
    </row>
    <row r="44" spans="1:22" x14ac:dyDescent="0.35">
      <c r="A44" s="2" t="s">
        <v>110</v>
      </c>
      <c r="B44" s="2">
        <v>4060</v>
      </c>
      <c r="C44" s="4" t="s">
        <v>55</v>
      </c>
      <c r="D44" s="13">
        <v>-453</v>
      </c>
      <c r="E44" s="4">
        <v>-358</v>
      </c>
      <c r="F44" s="4">
        <v>528</v>
      </c>
      <c r="G44" s="13">
        <v>789</v>
      </c>
      <c r="H44" s="4"/>
      <c r="I44" s="4"/>
      <c r="J44" s="4"/>
      <c r="K44" s="4"/>
      <c r="L44" s="4"/>
      <c r="M44" s="4"/>
      <c r="N44" s="4"/>
      <c r="O44" s="4"/>
      <c r="P44" s="5">
        <f t="shared" si="0"/>
        <v>42.166666666666664</v>
      </c>
      <c r="Q44" s="5">
        <v>-0.3833333333333333</v>
      </c>
      <c r="R44" s="4"/>
      <c r="S44" s="6"/>
      <c r="T44" s="7"/>
      <c r="U44" s="7"/>
      <c r="V44" s="7"/>
    </row>
    <row r="45" spans="1:22" x14ac:dyDescent="0.35">
      <c r="A45" s="2" t="s">
        <v>110</v>
      </c>
      <c r="B45" s="2">
        <v>4061</v>
      </c>
      <c r="C45" s="3" t="s">
        <v>56</v>
      </c>
      <c r="D45" s="13">
        <v>1562</v>
      </c>
      <c r="E45" s="4">
        <v>1328</v>
      </c>
      <c r="F45" s="4">
        <v>1264</v>
      </c>
      <c r="G45" s="13">
        <v>1252</v>
      </c>
      <c r="H45" s="4"/>
      <c r="I45" s="4"/>
      <c r="J45" s="4"/>
      <c r="K45" s="4"/>
      <c r="L45" s="4"/>
      <c r="M45" s="4"/>
      <c r="N45" s="4"/>
      <c r="O45" s="4"/>
      <c r="P45" s="5">
        <f t="shared" si="0"/>
        <v>450.5</v>
      </c>
      <c r="Q45" s="5">
        <v>26.458333333333332</v>
      </c>
      <c r="R45" s="4"/>
      <c r="S45" s="6"/>
      <c r="T45" s="7"/>
      <c r="U45" s="7"/>
      <c r="V45" s="7"/>
    </row>
    <row r="46" spans="1:22" x14ac:dyDescent="0.35">
      <c r="A46" s="2" t="s">
        <v>110</v>
      </c>
      <c r="B46" s="2">
        <v>4070</v>
      </c>
      <c r="C46" s="4" t="s">
        <v>57</v>
      </c>
      <c r="D46" s="13">
        <v>20.7</v>
      </c>
      <c r="E46" s="4">
        <v>19.46</v>
      </c>
      <c r="F46" s="4">
        <v>18</v>
      </c>
      <c r="G46" s="13">
        <v>18.649999999999999</v>
      </c>
      <c r="H46" s="4"/>
      <c r="I46" s="4"/>
      <c r="J46" s="4"/>
      <c r="K46" s="4"/>
      <c r="L46" s="4"/>
      <c r="M46" s="4"/>
      <c r="N46" s="4"/>
      <c r="O46" s="4"/>
      <c r="P46" s="5">
        <f t="shared" si="0"/>
        <v>6.4008333333333338</v>
      </c>
      <c r="Q46" s="5">
        <v>19.265000000000001</v>
      </c>
      <c r="R46" s="4">
        <v>21</v>
      </c>
      <c r="S46" s="6"/>
      <c r="T46" s="7"/>
      <c r="U46" s="7"/>
      <c r="V46" s="7"/>
    </row>
    <row r="47" spans="1:22" x14ac:dyDescent="0.35">
      <c r="A47" s="2" t="s">
        <v>111</v>
      </c>
      <c r="B47" s="2">
        <v>4080</v>
      </c>
      <c r="C47" s="8" t="s">
        <v>58</v>
      </c>
      <c r="D47" s="13">
        <v>0</v>
      </c>
      <c r="E47" s="4">
        <v>0</v>
      </c>
      <c r="F47" s="4">
        <v>0</v>
      </c>
      <c r="G47" s="13">
        <v>0</v>
      </c>
      <c r="H47" s="4"/>
      <c r="I47" s="4"/>
      <c r="J47" s="4"/>
      <c r="K47" s="4"/>
      <c r="L47" s="4"/>
      <c r="M47" s="4"/>
      <c r="N47" s="4"/>
      <c r="O47" s="4"/>
      <c r="P47" s="5">
        <f t="shared" si="0"/>
        <v>0</v>
      </c>
      <c r="Q47" s="5">
        <v>0.25</v>
      </c>
      <c r="R47" s="4">
        <v>0.2</v>
      </c>
      <c r="S47" s="6"/>
      <c r="T47" s="7"/>
      <c r="U47" s="7"/>
      <c r="V47" s="7"/>
    </row>
    <row r="48" spans="1:22" x14ac:dyDescent="0.35">
      <c r="A48" s="2" t="s">
        <v>108</v>
      </c>
      <c r="B48" s="2">
        <v>4210</v>
      </c>
      <c r="C48" s="10" t="s">
        <v>115</v>
      </c>
      <c r="D48" s="13">
        <v>0</v>
      </c>
      <c r="E48" s="4">
        <v>0</v>
      </c>
      <c r="F48" s="4">
        <v>0</v>
      </c>
      <c r="G48" s="13">
        <v>1</v>
      </c>
      <c r="H48" s="4"/>
      <c r="I48" s="4"/>
      <c r="J48" s="4"/>
      <c r="K48" s="4"/>
      <c r="L48" s="4"/>
      <c r="M48" s="4"/>
      <c r="N48" s="4"/>
      <c r="O48" s="4"/>
      <c r="P48" s="5">
        <f t="shared" si="0"/>
        <v>8.3333333333333329E-2</v>
      </c>
      <c r="Q48" s="5">
        <v>0.16666666666666666</v>
      </c>
      <c r="R48" s="4">
        <v>0</v>
      </c>
      <c r="S48" s="6"/>
      <c r="T48" s="7"/>
      <c r="U48" s="7"/>
      <c r="V48" s="7"/>
    </row>
    <row r="49" spans="1:22" x14ac:dyDescent="0.35">
      <c r="A49" s="2" t="s">
        <v>108</v>
      </c>
      <c r="B49" s="2">
        <v>4270</v>
      </c>
      <c r="C49" s="10" t="s">
        <v>59</v>
      </c>
      <c r="D49" s="13">
        <v>6.1</v>
      </c>
      <c r="E49" s="4">
        <v>6.1</v>
      </c>
      <c r="F49" s="4">
        <v>7.5</v>
      </c>
      <c r="G49" s="13">
        <v>12.8</v>
      </c>
      <c r="H49" s="4"/>
      <c r="I49" s="4"/>
      <c r="J49" s="4"/>
      <c r="K49" s="4"/>
      <c r="L49" s="4"/>
      <c r="M49" s="4"/>
      <c r="N49" s="4"/>
      <c r="O49" s="4"/>
      <c r="P49" s="5">
        <f t="shared" si="0"/>
        <v>2.7083333333333335</v>
      </c>
      <c r="Q49" s="5">
        <v>3.5541666666666667</v>
      </c>
      <c r="R49" s="4">
        <v>2.5</v>
      </c>
      <c r="S49" s="6"/>
      <c r="T49" s="7"/>
      <c r="U49" s="7"/>
      <c r="V49" s="7"/>
    </row>
    <row r="50" spans="1:22" x14ac:dyDescent="0.35">
      <c r="A50" s="2" t="s">
        <v>116</v>
      </c>
      <c r="B50" s="2">
        <v>4360</v>
      </c>
      <c r="C50" s="3" t="s">
        <v>60</v>
      </c>
      <c r="D50" s="13">
        <v>92</v>
      </c>
      <c r="E50" s="4">
        <v>94</v>
      </c>
      <c r="F50" s="4">
        <v>94</v>
      </c>
      <c r="G50" s="13">
        <v>94</v>
      </c>
      <c r="H50" s="4"/>
      <c r="I50" s="4"/>
      <c r="J50" s="4"/>
      <c r="K50" s="4"/>
      <c r="L50" s="4"/>
      <c r="M50" s="4"/>
      <c r="N50" s="4"/>
      <c r="O50" s="4"/>
      <c r="P50" s="5">
        <f t="shared" si="0"/>
        <v>31.166666666666668</v>
      </c>
      <c r="Q50" s="5">
        <v>90.333333333333329</v>
      </c>
      <c r="R50" s="4">
        <v>91</v>
      </c>
      <c r="S50" s="6"/>
      <c r="T50" s="7"/>
      <c r="U50" s="7"/>
      <c r="V50" s="7"/>
    </row>
    <row r="51" spans="1:22" x14ac:dyDescent="0.35">
      <c r="A51" s="2" t="s">
        <v>116</v>
      </c>
      <c r="B51" s="2">
        <v>4361</v>
      </c>
      <c r="C51" s="3" t="s">
        <v>61</v>
      </c>
      <c r="D51" s="13">
        <v>23.16</v>
      </c>
      <c r="E51" s="4">
        <v>115</v>
      </c>
      <c r="F51" s="4">
        <v>110</v>
      </c>
      <c r="G51" s="13">
        <v>143.01</v>
      </c>
      <c r="H51" s="4"/>
      <c r="I51" s="4"/>
      <c r="J51" s="4"/>
      <c r="K51" s="4"/>
      <c r="L51" s="4"/>
      <c r="M51" s="4"/>
      <c r="N51" s="4"/>
      <c r="O51" s="4"/>
      <c r="P51" s="5">
        <f t="shared" si="0"/>
        <v>32.597499999999997</v>
      </c>
      <c r="Q51" s="5">
        <v>151.38583333333332</v>
      </c>
      <c r="R51" s="4">
        <v>180</v>
      </c>
      <c r="S51" s="6"/>
      <c r="T51" s="7"/>
      <c r="U51" s="7"/>
      <c r="V51" s="7"/>
    </row>
    <row r="52" spans="1:22" x14ac:dyDescent="0.35">
      <c r="A52" s="2" t="s">
        <v>116</v>
      </c>
      <c r="B52" s="2">
        <v>4362</v>
      </c>
      <c r="C52" s="3" t="s">
        <v>62</v>
      </c>
      <c r="D52" s="13">
        <v>373</v>
      </c>
      <c r="E52" s="4">
        <v>32</v>
      </c>
      <c r="F52" s="4">
        <v>356</v>
      </c>
      <c r="G52" s="13">
        <v>237.8</v>
      </c>
      <c r="H52" s="4"/>
      <c r="I52" s="4"/>
      <c r="J52" s="4"/>
      <c r="K52" s="4"/>
      <c r="L52" s="4"/>
      <c r="M52" s="4"/>
      <c r="N52" s="4"/>
      <c r="O52" s="4"/>
      <c r="P52" s="5">
        <f t="shared" si="0"/>
        <v>83.233333333333334</v>
      </c>
      <c r="Q52" s="5">
        <v>438.51416666666665</v>
      </c>
      <c r="R52" s="4">
        <v>525</v>
      </c>
      <c r="S52" s="6"/>
      <c r="T52" s="7"/>
      <c r="U52" s="7"/>
      <c r="V52" s="7"/>
    </row>
    <row r="53" spans="1:22" x14ac:dyDescent="0.35">
      <c r="A53" s="2" t="s">
        <v>116</v>
      </c>
      <c r="B53" s="2">
        <v>4366</v>
      </c>
      <c r="C53" s="3" t="s">
        <v>63</v>
      </c>
      <c r="D53" s="13">
        <v>0.65</v>
      </c>
      <c r="E53" s="4">
        <v>0.27</v>
      </c>
      <c r="F53" s="4">
        <v>0.26</v>
      </c>
      <c r="G53" s="13">
        <v>0.3</v>
      </c>
      <c r="H53" s="4"/>
      <c r="I53" s="4"/>
      <c r="J53" s="4"/>
      <c r="K53" s="4"/>
      <c r="L53" s="4"/>
      <c r="M53" s="4"/>
      <c r="N53" s="4"/>
      <c r="O53" s="4"/>
      <c r="P53" s="5">
        <f t="shared" si="0"/>
        <v>0.12333333333333335</v>
      </c>
      <c r="Q53" s="5">
        <v>0.48166666666666669</v>
      </c>
      <c r="R53" s="4">
        <v>0.45</v>
      </c>
      <c r="S53" s="6"/>
      <c r="T53" s="7"/>
      <c r="U53" s="7"/>
      <c r="V53" s="7"/>
    </row>
    <row r="54" spans="1:22" x14ac:dyDescent="0.35">
      <c r="A54" s="2" t="s">
        <v>116</v>
      </c>
      <c r="B54" s="2">
        <v>4367</v>
      </c>
      <c r="C54" s="3" t="s">
        <v>64</v>
      </c>
      <c r="D54" s="13">
        <v>0.3</v>
      </c>
      <c r="E54" s="4">
        <v>0.18</v>
      </c>
      <c r="F54" s="4">
        <v>0.25</v>
      </c>
      <c r="G54" s="13">
        <v>0.2</v>
      </c>
      <c r="H54" s="4"/>
      <c r="I54" s="4"/>
      <c r="J54" s="4"/>
      <c r="K54" s="4"/>
      <c r="L54" s="4"/>
      <c r="M54" s="4"/>
      <c r="N54" s="4"/>
      <c r="O54" s="4"/>
      <c r="P54" s="5">
        <f t="shared" si="0"/>
        <v>7.7499999999999999E-2</v>
      </c>
      <c r="Q54" s="5">
        <v>0.32583333333333336</v>
      </c>
      <c r="R54" s="4">
        <v>0.3</v>
      </c>
      <c r="S54" s="6"/>
      <c r="T54" s="7"/>
      <c r="U54" s="7"/>
      <c r="V54" s="7"/>
    </row>
    <row r="55" spans="1:22" x14ac:dyDescent="0.35">
      <c r="A55" s="2" t="s">
        <v>116</v>
      </c>
      <c r="B55" s="2">
        <v>4370</v>
      </c>
      <c r="C55" s="3" t="s">
        <v>65</v>
      </c>
      <c r="D55" s="13">
        <v>0.08</v>
      </c>
      <c r="E55" s="4">
        <v>3.17</v>
      </c>
      <c r="F55" s="4">
        <v>0.81</v>
      </c>
      <c r="G55" s="13">
        <v>0.5</v>
      </c>
      <c r="H55" s="4"/>
      <c r="I55" s="4"/>
      <c r="J55" s="4"/>
      <c r="K55" s="4"/>
      <c r="L55" s="4"/>
      <c r="M55" s="4"/>
      <c r="N55" s="4"/>
      <c r="O55" s="4"/>
      <c r="P55" s="5">
        <f t="shared" si="0"/>
        <v>0.38000000000000006</v>
      </c>
      <c r="Q55" s="5">
        <v>0.40500000000000003</v>
      </c>
      <c r="R55" s="4">
        <v>0.35</v>
      </c>
      <c r="S55" s="6"/>
      <c r="T55" s="7"/>
      <c r="U55" s="7"/>
      <c r="V55" s="7"/>
    </row>
    <row r="56" spans="1:22" x14ac:dyDescent="0.35">
      <c r="A56" s="2" t="s">
        <v>116</v>
      </c>
      <c r="B56" s="2">
        <v>4372</v>
      </c>
      <c r="C56" s="3" t="s">
        <v>66</v>
      </c>
      <c r="D56" s="13">
        <v>0</v>
      </c>
      <c r="E56" s="4">
        <v>3</v>
      </c>
      <c r="F56" s="4">
        <v>0</v>
      </c>
      <c r="G56" s="13">
        <v>0</v>
      </c>
      <c r="H56" s="4"/>
      <c r="I56" s="4"/>
      <c r="J56" s="4"/>
      <c r="K56" s="4"/>
      <c r="L56" s="4"/>
      <c r="M56" s="4"/>
      <c r="N56" s="4"/>
      <c r="O56" s="4"/>
      <c r="P56" s="5">
        <f t="shared" si="0"/>
        <v>0.25</v>
      </c>
      <c r="Q56" s="5">
        <v>0.16666666666666666</v>
      </c>
      <c r="R56" s="4">
        <v>0.15</v>
      </c>
      <c r="S56" s="6"/>
      <c r="T56" s="7"/>
      <c r="U56" s="7"/>
      <c r="V56" s="7"/>
    </row>
    <row r="57" spans="1:22" x14ac:dyDescent="0.35">
      <c r="A57" s="2" t="s">
        <v>110</v>
      </c>
      <c r="B57" s="2">
        <v>4380</v>
      </c>
      <c r="C57" s="4" t="s">
        <v>67</v>
      </c>
      <c r="D57" s="13">
        <v>60.6</v>
      </c>
      <c r="E57" s="4">
        <v>52.9</v>
      </c>
      <c r="F57" s="4">
        <v>47.6</v>
      </c>
      <c r="G57" s="13">
        <v>50.6</v>
      </c>
      <c r="H57" s="4"/>
      <c r="I57" s="4"/>
      <c r="J57" s="4"/>
      <c r="K57" s="4"/>
      <c r="L57" s="4"/>
      <c r="M57" s="4"/>
      <c r="N57" s="4"/>
      <c r="O57" s="4"/>
      <c r="P57" s="5">
        <f t="shared" si="0"/>
        <v>17.641666666666666</v>
      </c>
      <c r="Q57" s="5">
        <v>68.475000000000009</v>
      </c>
      <c r="R57" s="4">
        <v>70</v>
      </c>
      <c r="S57" s="6"/>
      <c r="T57" s="7"/>
      <c r="U57" s="7"/>
      <c r="V57" s="7"/>
    </row>
    <row r="58" spans="1:22" x14ac:dyDescent="0.35">
      <c r="A58" s="2" t="s">
        <v>108</v>
      </c>
      <c r="B58" s="2">
        <v>4413</v>
      </c>
      <c r="C58" s="3" t="s">
        <v>68</v>
      </c>
      <c r="D58" s="13">
        <v>56</v>
      </c>
      <c r="E58" s="4">
        <v>52</v>
      </c>
      <c r="F58" s="4">
        <v>55</v>
      </c>
      <c r="G58" s="13">
        <v>56</v>
      </c>
      <c r="H58" s="4"/>
      <c r="I58" s="4"/>
      <c r="J58" s="4"/>
      <c r="K58" s="4"/>
      <c r="L58" s="4"/>
      <c r="M58" s="4"/>
      <c r="N58" s="4"/>
      <c r="O58" s="4"/>
      <c r="P58" s="5">
        <f t="shared" si="0"/>
        <v>18.25</v>
      </c>
      <c r="Q58" s="5">
        <v>45.99583333333333</v>
      </c>
      <c r="R58" s="4">
        <v>50</v>
      </c>
      <c r="S58" s="6"/>
      <c r="T58" s="7"/>
      <c r="U58" s="7"/>
      <c r="V58" s="7"/>
    </row>
    <row r="59" spans="1:22" x14ac:dyDescent="0.35">
      <c r="A59" s="2" t="s">
        <v>108</v>
      </c>
      <c r="B59" s="2">
        <v>4414</v>
      </c>
      <c r="C59" s="3" t="s">
        <v>69</v>
      </c>
      <c r="D59" s="13">
        <v>61</v>
      </c>
      <c r="E59" s="4">
        <v>60</v>
      </c>
      <c r="F59" s="4">
        <v>59</v>
      </c>
      <c r="G59" s="13">
        <v>61</v>
      </c>
      <c r="H59" s="4"/>
      <c r="I59" s="4"/>
      <c r="J59" s="4"/>
      <c r="K59" s="4"/>
      <c r="L59" s="4"/>
      <c r="M59" s="4"/>
      <c r="N59" s="4"/>
      <c r="O59" s="4"/>
      <c r="P59" s="5">
        <f t="shared" si="0"/>
        <v>20.083333333333332</v>
      </c>
      <c r="Q59" s="5">
        <v>57.6875</v>
      </c>
      <c r="R59" s="4">
        <v>60</v>
      </c>
      <c r="S59" s="6"/>
      <c r="T59" s="7"/>
      <c r="U59" s="7"/>
      <c r="V59" s="7"/>
    </row>
    <row r="60" spans="1:22" x14ac:dyDescent="0.35">
      <c r="A60" s="2" t="s">
        <v>108</v>
      </c>
      <c r="B60" s="2">
        <v>4415</v>
      </c>
      <c r="C60" s="3" t="s">
        <v>70</v>
      </c>
      <c r="D60" s="13">
        <v>60</v>
      </c>
      <c r="E60" s="4">
        <v>60</v>
      </c>
      <c r="F60" s="4">
        <v>68</v>
      </c>
      <c r="G60" s="13">
        <v>66</v>
      </c>
      <c r="H60" s="4"/>
      <c r="I60" s="4"/>
      <c r="J60" s="4"/>
      <c r="K60" s="4"/>
      <c r="L60" s="4"/>
      <c r="M60" s="4"/>
      <c r="N60" s="4"/>
      <c r="O60" s="4"/>
      <c r="P60" s="5">
        <f t="shared" si="0"/>
        <v>21.166666666666668</v>
      </c>
      <c r="Q60" s="5">
        <v>58</v>
      </c>
      <c r="R60" s="4">
        <v>60</v>
      </c>
      <c r="S60" s="6"/>
      <c r="T60" s="7"/>
      <c r="U60" s="7"/>
      <c r="V60" s="7"/>
    </row>
    <row r="61" spans="1:22" x14ac:dyDescent="0.35">
      <c r="A61" s="2" t="s">
        <v>108</v>
      </c>
      <c r="B61" s="2">
        <v>4416</v>
      </c>
      <c r="C61" s="3" t="s">
        <v>71</v>
      </c>
      <c r="D61" s="13">
        <v>62</v>
      </c>
      <c r="E61" s="4">
        <v>61</v>
      </c>
      <c r="F61" s="4">
        <v>60</v>
      </c>
      <c r="G61" s="13">
        <v>62</v>
      </c>
      <c r="H61" s="4"/>
      <c r="I61" s="4"/>
      <c r="J61" s="4"/>
      <c r="K61" s="4"/>
      <c r="L61" s="4"/>
      <c r="M61" s="4"/>
      <c r="N61" s="4"/>
      <c r="O61" s="4"/>
      <c r="P61" s="5">
        <f t="shared" si="0"/>
        <v>20.416666666666668</v>
      </c>
      <c r="Q61" s="5">
        <v>61.966666666666669</v>
      </c>
      <c r="R61" s="4">
        <v>65</v>
      </c>
      <c r="S61" s="6"/>
      <c r="T61" s="7"/>
      <c r="U61" s="7"/>
      <c r="V61" s="7"/>
    </row>
    <row r="62" spans="1:22" x14ac:dyDescent="0.35">
      <c r="A62" s="2" t="s">
        <v>108</v>
      </c>
      <c r="B62" s="2">
        <v>4432</v>
      </c>
      <c r="C62" s="3" t="s">
        <v>72</v>
      </c>
      <c r="D62" s="13">
        <v>0</v>
      </c>
      <c r="E62" s="4">
        <v>0</v>
      </c>
      <c r="F62" s="4">
        <v>0</v>
      </c>
      <c r="G62" s="13">
        <v>0</v>
      </c>
      <c r="H62" s="4"/>
      <c r="I62" s="4"/>
      <c r="J62" s="4"/>
      <c r="K62" s="4"/>
      <c r="L62" s="4"/>
      <c r="M62" s="4"/>
      <c r="N62" s="4"/>
      <c r="O62" s="4"/>
      <c r="P62" s="5">
        <f t="shared" si="0"/>
        <v>0</v>
      </c>
      <c r="Q62" s="5">
        <v>0</v>
      </c>
      <c r="R62" s="4">
        <v>0</v>
      </c>
      <c r="S62" s="6"/>
      <c r="T62" s="7"/>
      <c r="U62" s="7"/>
      <c r="V62" s="7"/>
    </row>
    <row r="63" spans="1:22" x14ac:dyDescent="0.35">
      <c r="A63" s="2" t="s">
        <v>108</v>
      </c>
      <c r="B63" s="2">
        <v>4433</v>
      </c>
      <c r="C63" s="3" t="s">
        <v>73</v>
      </c>
      <c r="D63" s="13">
        <v>0</v>
      </c>
      <c r="E63" s="4">
        <v>0</v>
      </c>
      <c r="F63" s="4">
        <v>0</v>
      </c>
      <c r="G63" s="13">
        <v>0</v>
      </c>
      <c r="H63" s="4"/>
      <c r="I63" s="4"/>
      <c r="J63" s="4"/>
      <c r="K63" s="4"/>
      <c r="L63" s="4"/>
      <c r="M63" s="4"/>
      <c r="N63" s="4"/>
      <c r="O63" s="4"/>
      <c r="P63" s="5">
        <f t="shared" si="0"/>
        <v>0</v>
      </c>
      <c r="Q63" s="5">
        <v>0</v>
      </c>
      <c r="R63" s="4">
        <v>0</v>
      </c>
      <c r="S63" s="6"/>
      <c r="T63" s="7"/>
      <c r="U63" s="7"/>
      <c r="V63" s="7"/>
    </row>
    <row r="64" spans="1:22" x14ac:dyDescent="0.35">
      <c r="A64" s="2" t="s">
        <v>110</v>
      </c>
      <c r="B64" s="2">
        <v>4435</v>
      </c>
      <c r="C64" s="3" t="s">
        <v>74</v>
      </c>
      <c r="D64" s="13">
        <v>100</v>
      </c>
      <c r="E64" s="4">
        <v>100</v>
      </c>
      <c r="F64" s="4">
        <v>100</v>
      </c>
      <c r="G64" s="13">
        <v>100</v>
      </c>
      <c r="H64" s="4"/>
      <c r="I64" s="4"/>
      <c r="J64" s="4"/>
      <c r="K64" s="4"/>
      <c r="L64" s="4"/>
      <c r="M64" s="4"/>
      <c r="N64" s="4"/>
      <c r="O64" s="4"/>
      <c r="P64" s="5">
        <f t="shared" si="0"/>
        <v>33.333333333333336</v>
      </c>
      <c r="Q64" s="5">
        <v>96.783333333333346</v>
      </c>
      <c r="R64" s="4">
        <v>98</v>
      </c>
      <c r="S64" s="6"/>
      <c r="T64" s="7"/>
      <c r="U64" s="7"/>
      <c r="V64" s="7"/>
    </row>
    <row r="65" spans="1:22" x14ac:dyDescent="0.35">
      <c r="A65" s="2" t="s">
        <v>117</v>
      </c>
      <c r="B65" s="2">
        <v>4440</v>
      </c>
      <c r="C65" s="3" t="s">
        <v>75</v>
      </c>
      <c r="D65" s="13">
        <v>2</v>
      </c>
      <c r="E65" s="4">
        <v>0</v>
      </c>
      <c r="F65" s="4">
        <v>0</v>
      </c>
      <c r="G65" s="13">
        <v>3</v>
      </c>
      <c r="H65" s="4"/>
      <c r="I65" s="4"/>
      <c r="J65" s="4"/>
      <c r="K65" s="4"/>
      <c r="L65" s="4"/>
      <c r="M65" s="4"/>
      <c r="N65" s="4"/>
      <c r="O65" s="4"/>
      <c r="P65" s="5">
        <f t="shared" si="0"/>
        <v>0.41666666666666669</v>
      </c>
      <c r="Q65" s="5">
        <v>1</v>
      </c>
      <c r="R65" s="4">
        <v>1</v>
      </c>
      <c r="S65" s="6"/>
      <c r="T65" s="7"/>
      <c r="U65" s="7"/>
      <c r="V65" s="7"/>
    </row>
    <row r="66" spans="1:22" ht="29" x14ac:dyDescent="0.35">
      <c r="A66" s="2" t="s">
        <v>118</v>
      </c>
      <c r="B66" s="2">
        <v>4450</v>
      </c>
      <c r="C66" s="9" t="s">
        <v>76</v>
      </c>
      <c r="D66" s="13">
        <v>100</v>
      </c>
      <c r="E66" s="4">
        <v>100</v>
      </c>
      <c r="F66" s="4">
        <v>100</v>
      </c>
      <c r="G66" s="13">
        <v>77</v>
      </c>
      <c r="H66" s="4"/>
      <c r="I66" s="4"/>
      <c r="J66" s="4"/>
      <c r="K66" s="4"/>
      <c r="L66" s="4"/>
      <c r="M66" s="4"/>
      <c r="N66" s="4"/>
      <c r="O66" s="4"/>
      <c r="P66" s="5">
        <f t="shared" si="0"/>
        <v>31.416666666666668</v>
      </c>
      <c r="Q66" s="5">
        <v>100</v>
      </c>
      <c r="R66" s="4">
        <v>100</v>
      </c>
      <c r="S66" s="6"/>
      <c r="T66" s="7"/>
      <c r="U66" s="7"/>
      <c r="V66" s="7"/>
    </row>
    <row r="67" spans="1:22" x14ac:dyDescent="0.35">
      <c r="A67" s="2" t="s">
        <v>108</v>
      </c>
      <c r="B67" s="2">
        <v>4470</v>
      </c>
      <c r="C67" s="10" t="s">
        <v>77</v>
      </c>
      <c r="D67" s="13">
        <v>2</v>
      </c>
      <c r="E67" s="4">
        <v>0</v>
      </c>
      <c r="F67" s="4">
        <v>0</v>
      </c>
      <c r="G67" s="13">
        <v>0</v>
      </c>
      <c r="H67" s="4"/>
      <c r="I67" s="4"/>
      <c r="J67" s="4"/>
      <c r="K67" s="4"/>
      <c r="L67" s="4"/>
      <c r="M67" s="4"/>
      <c r="N67" s="4"/>
      <c r="O67" s="4"/>
      <c r="P67" s="5">
        <f t="shared" ref="P67:P85" si="1">SUM(D67:O67)/12</f>
        <v>0.16666666666666666</v>
      </c>
      <c r="Q67" s="5">
        <v>0.25</v>
      </c>
      <c r="R67" s="4">
        <v>0.25</v>
      </c>
      <c r="S67" s="6"/>
      <c r="T67" s="7"/>
      <c r="U67" s="7"/>
      <c r="V67" s="7"/>
    </row>
    <row r="68" spans="1:22" x14ac:dyDescent="0.35">
      <c r="A68" s="2" t="s">
        <v>108</v>
      </c>
      <c r="B68" s="2">
        <v>4490</v>
      </c>
      <c r="C68" s="10" t="s">
        <v>78</v>
      </c>
      <c r="D68" s="13">
        <v>32</v>
      </c>
      <c r="E68" s="4">
        <v>33.5</v>
      </c>
      <c r="F68" s="4">
        <v>34.1</v>
      </c>
      <c r="G68" s="13">
        <v>35.1</v>
      </c>
      <c r="H68" s="4"/>
      <c r="I68" s="4"/>
      <c r="J68" s="4"/>
      <c r="K68" s="4"/>
      <c r="L68" s="4"/>
      <c r="M68" s="4"/>
      <c r="N68" s="4"/>
      <c r="O68" s="4"/>
      <c r="P68" s="5">
        <f t="shared" si="1"/>
        <v>11.225</v>
      </c>
      <c r="Q68" s="5">
        <v>27.010000000000005</v>
      </c>
      <c r="R68" s="4"/>
      <c r="S68" s="6"/>
      <c r="T68" s="7"/>
      <c r="U68" s="7"/>
      <c r="V68" s="7"/>
    </row>
    <row r="69" spans="1:22" x14ac:dyDescent="0.35">
      <c r="A69" s="2" t="s">
        <v>108</v>
      </c>
      <c r="B69" s="2">
        <v>4491</v>
      </c>
      <c r="C69" s="10" t="s">
        <v>79</v>
      </c>
      <c r="D69" s="13">
        <v>10.5</v>
      </c>
      <c r="E69" s="4">
        <v>10.44</v>
      </c>
      <c r="F69" s="4">
        <v>12.6</v>
      </c>
      <c r="G69" s="13">
        <v>9.6</v>
      </c>
      <c r="H69" s="4"/>
      <c r="I69" s="4"/>
      <c r="J69" s="4"/>
      <c r="K69" s="4"/>
      <c r="L69" s="4"/>
      <c r="M69" s="4"/>
      <c r="N69" s="4"/>
      <c r="O69" s="4"/>
      <c r="P69" s="5">
        <f t="shared" si="1"/>
        <v>3.5950000000000002</v>
      </c>
      <c r="Q69" s="5">
        <v>9.7749999999999986</v>
      </c>
      <c r="R69" s="4"/>
      <c r="S69" s="6"/>
      <c r="T69" s="7"/>
      <c r="U69" s="7"/>
      <c r="V69" s="7"/>
    </row>
    <row r="70" spans="1:22" x14ac:dyDescent="0.35">
      <c r="A70" s="2" t="s">
        <v>108</v>
      </c>
      <c r="B70" s="2">
        <v>4500</v>
      </c>
      <c r="C70" s="10" t="s">
        <v>80</v>
      </c>
      <c r="D70" s="13">
        <v>13</v>
      </c>
      <c r="E70" s="4">
        <v>15.2</v>
      </c>
      <c r="F70" s="4">
        <v>15.47</v>
      </c>
      <c r="G70" s="13">
        <v>12.54</v>
      </c>
      <c r="H70" s="4"/>
      <c r="I70" s="4"/>
      <c r="J70" s="4"/>
      <c r="K70" s="4"/>
      <c r="L70" s="4"/>
      <c r="M70" s="4"/>
      <c r="N70" s="4"/>
      <c r="O70" s="4"/>
      <c r="P70" s="5">
        <f t="shared" si="1"/>
        <v>4.684166666666667</v>
      </c>
      <c r="Q70" s="5">
        <v>6.5324999999999998</v>
      </c>
      <c r="R70" s="4"/>
      <c r="S70" s="6"/>
      <c r="T70" s="7"/>
      <c r="U70" s="7"/>
      <c r="V70" s="7"/>
    </row>
    <row r="71" spans="1:22" x14ac:dyDescent="0.35">
      <c r="A71" s="2" t="s">
        <v>108</v>
      </c>
      <c r="B71" s="2">
        <v>4502</v>
      </c>
      <c r="C71" s="10" t="s">
        <v>81</v>
      </c>
      <c r="D71" s="13">
        <v>7.7</v>
      </c>
      <c r="E71" s="4">
        <v>10.199999999999999</v>
      </c>
      <c r="F71" s="4">
        <v>7.31</v>
      </c>
      <c r="G71" s="13">
        <v>7.12</v>
      </c>
      <c r="H71" s="4"/>
      <c r="I71" s="4"/>
      <c r="J71" s="4"/>
      <c r="K71" s="4"/>
      <c r="L71" s="4"/>
      <c r="M71" s="4"/>
      <c r="N71" s="4"/>
      <c r="O71" s="4"/>
      <c r="P71" s="5">
        <f t="shared" si="1"/>
        <v>2.6941666666666664</v>
      </c>
      <c r="Q71" s="5">
        <v>3.7608333333333337</v>
      </c>
      <c r="R71" s="4"/>
      <c r="S71" s="6"/>
      <c r="T71" s="7"/>
      <c r="U71" s="7"/>
      <c r="V71" s="7"/>
    </row>
    <row r="72" spans="1:22" x14ac:dyDescent="0.35">
      <c r="A72" s="2" t="s">
        <v>108</v>
      </c>
      <c r="B72" s="2">
        <v>4504</v>
      </c>
      <c r="C72" s="10" t="s">
        <v>82</v>
      </c>
      <c r="D72" s="13">
        <v>0</v>
      </c>
      <c r="E72" s="4">
        <v>10492</v>
      </c>
      <c r="F72" s="4">
        <v>3910</v>
      </c>
      <c r="G72" s="13">
        <v>3918</v>
      </c>
      <c r="H72" s="4"/>
      <c r="I72" s="4"/>
      <c r="J72" s="4"/>
      <c r="K72" s="4"/>
      <c r="L72" s="4"/>
      <c r="M72" s="4"/>
      <c r="N72" s="4"/>
      <c r="O72" s="4"/>
      <c r="P72" s="5">
        <f t="shared" si="1"/>
        <v>1526.6666666666667</v>
      </c>
      <c r="Q72" s="5">
        <v>4488.2641666666668</v>
      </c>
      <c r="R72" s="4">
        <v>4000</v>
      </c>
      <c r="S72" s="6"/>
      <c r="T72" s="7"/>
      <c r="U72" s="7"/>
      <c r="V72" s="7"/>
    </row>
    <row r="73" spans="1:22" x14ac:dyDescent="0.35">
      <c r="A73" s="2" t="s">
        <v>111</v>
      </c>
      <c r="B73" s="2">
        <v>4510</v>
      </c>
      <c r="C73" s="4" t="s">
        <v>83</v>
      </c>
      <c r="D73" s="13">
        <v>0</v>
      </c>
      <c r="E73" s="4">
        <v>0</v>
      </c>
      <c r="F73" s="4">
        <v>0</v>
      </c>
      <c r="G73" s="13">
        <v>0</v>
      </c>
      <c r="H73" s="4"/>
      <c r="I73" s="4"/>
      <c r="J73" s="4"/>
      <c r="K73" s="4"/>
      <c r="L73" s="4"/>
      <c r="M73" s="4"/>
      <c r="N73" s="4"/>
      <c r="O73" s="4"/>
      <c r="P73" s="5">
        <f t="shared" si="1"/>
        <v>0</v>
      </c>
      <c r="Q73" s="5">
        <v>593.86666666666667</v>
      </c>
      <c r="R73" s="4">
        <v>500</v>
      </c>
      <c r="S73" s="6"/>
      <c r="T73" s="7"/>
      <c r="U73" s="7"/>
      <c r="V73" s="7"/>
    </row>
    <row r="74" spans="1:22" x14ac:dyDescent="0.35">
      <c r="A74" s="2" t="s">
        <v>108</v>
      </c>
      <c r="B74" s="2">
        <v>4511</v>
      </c>
      <c r="C74" s="4" t="s">
        <v>84</v>
      </c>
      <c r="D74" s="13">
        <v>0</v>
      </c>
      <c r="E74" s="4">
        <v>0</v>
      </c>
      <c r="F74" s="4">
        <v>0</v>
      </c>
      <c r="G74" s="13">
        <v>0</v>
      </c>
      <c r="H74" s="4"/>
      <c r="I74" s="4"/>
      <c r="J74" s="4"/>
      <c r="K74" s="4"/>
      <c r="L74" s="4"/>
      <c r="M74" s="4"/>
      <c r="N74" s="4"/>
      <c r="O74" s="4"/>
      <c r="P74" s="5">
        <f t="shared" si="1"/>
        <v>0</v>
      </c>
      <c r="Q74" s="5">
        <v>5090.833333333333</v>
      </c>
      <c r="R74" s="4">
        <v>3000</v>
      </c>
      <c r="S74" s="6"/>
      <c r="T74" s="7"/>
      <c r="U74" s="7"/>
      <c r="V74" s="7"/>
    </row>
    <row r="75" spans="1:22" x14ac:dyDescent="0.35">
      <c r="A75" s="2" t="s">
        <v>114</v>
      </c>
      <c r="B75" s="2">
        <v>4610</v>
      </c>
      <c r="C75" s="4" t="s">
        <v>85</v>
      </c>
      <c r="D75" s="13">
        <v>18.045999999999999</v>
      </c>
      <c r="E75" s="4">
        <v>41.61</v>
      </c>
      <c r="F75" s="4">
        <v>33.756</v>
      </c>
      <c r="G75" s="13">
        <v>28.373999999999999</v>
      </c>
      <c r="H75" s="4"/>
      <c r="I75" s="4"/>
      <c r="J75" s="4"/>
      <c r="K75" s="4"/>
      <c r="L75" s="4"/>
      <c r="M75" s="4"/>
      <c r="N75" s="4"/>
      <c r="O75" s="4"/>
      <c r="P75" s="5">
        <f t="shared" si="1"/>
        <v>10.148833333333334</v>
      </c>
      <c r="Q75" s="5">
        <v>26.01</v>
      </c>
      <c r="R75" s="4">
        <v>23</v>
      </c>
      <c r="S75" s="6"/>
      <c r="T75" s="7"/>
      <c r="U75" s="7"/>
      <c r="V75" s="7"/>
    </row>
    <row r="76" spans="1:22" x14ac:dyDescent="0.35">
      <c r="A76" s="2" t="s">
        <v>109</v>
      </c>
      <c r="B76" s="2">
        <v>4740</v>
      </c>
      <c r="C76" s="8" t="s">
        <v>86</v>
      </c>
      <c r="D76" s="13">
        <v>100</v>
      </c>
      <c r="E76" s="4">
        <v>100</v>
      </c>
      <c r="F76" s="4">
        <v>100</v>
      </c>
      <c r="G76" s="13">
        <v>100</v>
      </c>
      <c r="H76" s="4"/>
      <c r="I76" s="4"/>
      <c r="J76" s="4"/>
      <c r="K76" s="4"/>
      <c r="L76" s="4"/>
      <c r="M76" s="4"/>
      <c r="N76" s="4"/>
      <c r="O76" s="4"/>
      <c r="P76" s="5">
        <f t="shared" si="1"/>
        <v>33.333333333333336</v>
      </c>
      <c r="Q76" s="5">
        <v>0</v>
      </c>
      <c r="R76" s="4">
        <v>0</v>
      </c>
      <c r="S76" s="6"/>
      <c r="T76" s="7"/>
      <c r="U76" s="7"/>
      <c r="V76" s="7"/>
    </row>
    <row r="77" spans="1:22" x14ac:dyDescent="0.35">
      <c r="A77" s="2" t="s">
        <v>109</v>
      </c>
      <c r="B77" s="2">
        <v>5030</v>
      </c>
      <c r="C77" s="8" t="s">
        <v>87</v>
      </c>
      <c r="D77" s="13">
        <v>96</v>
      </c>
      <c r="E77" s="4">
        <v>94</v>
      </c>
      <c r="F77" s="4">
        <v>90</v>
      </c>
      <c r="G77" s="13">
        <v>96</v>
      </c>
      <c r="H77" s="4"/>
      <c r="I77" s="4"/>
      <c r="J77" s="4"/>
      <c r="K77" s="4"/>
      <c r="L77" s="4"/>
      <c r="M77" s="4"/>
      <c r="N77" s="4"/>
      <c r="O77" s="4"/>
      <c r="P77" s="5">
        <f t="shared" si="1"/>
        <v>31.333333333333332</v>
      </c>
      <c r="Q77" s="5">
        <v>97.083333333333329</v>
      </c>
      <c r="R77" s="4">
        <v>98</v>
      </c>
      <c r="S77" s="6"/>
      <c r="T77" s="7"/>
      <c r="U77" s="7"/>
      <c r="V77" s="7"/>
    </row>
    <row r="78" spans="1:22" x14ac:dyDescent="0.35">
      <c r="A78" s="2" t="s">
        <v>109</v>
      </c>
      <c r="B78" s="2">
        <v>5040</v>
      </c>
      <c r="C78" s="8" t="s">
        <v>88</v>
      </c>
      <c r="D78" s="13">
        <v>92</v>
      </c>
      <c r="E78" s="4">
        <v>95</v>
      </c>
      <c r="F78" s="4">
        <v>93</v>
      </c>
      <c r="G78" s="13">
        <v>93</v>
      </c>
      <c r="H78" s="4"/>
      <c r="I78" s="4"/>
      <c r="J78" s="4"/>
      <c r="K78" s="4"/>
      <c r="L78" s="4"/>
      <c r="M78" s="4"/>
      <c r="N78" s="4"/>
      <c r="O78" s="4"/>
      <c r="P78" s="5">
        <f t="shared" si="1"/>
        <v>31.083333333333332</v>
      </c>
      <c r="Q78" s="5">
        <v>98.163333333333341</v>
      </c>
      <c r="R78" s="4">
        <v>98.2</v>
      </c>
      <c r="S78" s="6"/>
      <c r="T78" s="7"/>
      <c r="U78" s="7"/>
      <c r="V78" s="7"/>
    </row>
    <row r="79" spans="1:22" x14ac:dyDescent="0.35">
      <c r="A79" s="2" t="s">
        <v>117</v>
      </c>
      <c r="B79" s="2">
        <v>5090</v>
      </c>
      <c r="C79" s="4" t="s">
        <v>89</v>
      </c>
      <c r="D79" s="13">
        <v>0</v>
      </c>
      <c r="E79" s="4">
        <v>0</v>
      </c>
      <c r="F79" s="4">
        <v>0</v>
      </c>
      <c r="G79" s="13">
        <v>2</v>
      </c>
      <c r="H79" s="4"/>
      <c r="I79" s="4"/>
      <c r="J79" s="4"/>
      <c r="K79" s="4"/>
      <c r="L79" s="4"/>
      <c r="M79" s="4"/>
      <c r="N79" s="4"/>
      <c r="O79" s="4"/>
      <c r="P79" s="5">
        <f t="shared" si="1"/>
        <v>0.16666666666666666</v>
      </c>
      <c r="Q79" s="5">
        <v>0.5</v>
      </c>
      <c r="R79" s="4">
        <v>0.45</v>
      </c>
      <c r="S79" s="6"/>
      <c r="T79" s="7"/>
      <c r="U79" s="7"/>
      <c r="V79" s="7"/>
    </row>
    <row r="80" spans="1:22" x14ac:dyDescent="0.35">
      <c r="A80" s="2" t="s">
        <v>116</v>
      </c>
      <c r="B80" s="2">
        <v>9403</v>
      </c>
      <c r="C80" s="3" t="s">
        <v>90</v>
      </c>
      <c r="D80" s="13">
        <v>2969</v>
      </c>
      <c r="E80" s="4">
        <v>2699</v>
      </c>
      <c r="F80" s="4">
        <v>1484</v>
      </c>
      <c r="G80" s="13">
        <v>1484.8</v>
      </c>
      <c r="H80" s="4"/>
      <c r="I80" s="4"/>
      <c r="J80" s="4"/>
      <c r="K80" s="4"/>
      <c r="L80" s="4"/>
      <c r="M80" s="4"/>
      <c r="N80" s="4"/>
      <c r="O80" s="4"/>
      <c r="P80" s="5">
        <f t="shared" si="1"/>
        <v>719.73333333333323</v>
      </c>
      <c r="Q80" s="5">
        <v>2482</v>
      </c>
      <c r="R80" s="4">
        <v>2550</v>
      </c>
      <c r="S80" s="6"/>
      <c r="T80" s="7"/>
      <c r="U80" s="7"/>
      <c r="V80" s="7"/>
    </row>
    <row r="81" spans="1:22" x14ac:dyDescent="0.35">
      <c r="A81" s="2" t="s">
        <v>116</v>
      </c>
      <c r="B81" s="2">
        <v>9406</v>
      </c>
      <c r="C81" s="3" t="s">
        <v>91</v>
      </c>
      <c r="D81" s="13">
        <v>0.19</v>
      </c>
      <c r="E81" s="4">
        <v>0.18</v>
      </c>
      <c r="F81" s="4">
        <v>0.18</v>
      </c>
      <c r="G81" s="13">
        <v>0.2</v>
      </c>
      <c r="H81" s="4"/>
      <c r="I81" s="4"/>
      <c r="J81" s="4"/>
      <c r="K81" s="4"/>
      <c r="L81" s="4"/>
      <c r="M81" s="4"/>
      <c r="N81" s="4"/>
      <c r="O81" s="4"/>
      <c r="P81" s="5">
        <f t="shared" si="1"/>
        <v>6.25E-2</v>
      </c>
      <c r="Q81" s="5">
        <v>0.1925</v>
      </c>
      <c r="R81" s="4">
        <v>0.19</v>
      </c>
      <c r="S81" s="6"/>
      <c r="T81" s="7"/>
      <c r="U81" s="7"/>
      <c r="V81" s="7"/>
    </row>
    <row r="82" spans="1:22" x14ac:dyDescent="0.35">
      <c r="A82" s="2" t="s">
        <v>113</v>
      </c>
      <c r="B82" s="2">
        <v>10401</v>
      </c>
      <c r="C82" s="4" t="s">
        <v>92</v>
      </c>
      <c r="D82" s="13">
        <v>0</v>
      </c>
      <c r="E82" s="4">
        <v>0</v>
      </c>
      <c r="F82" s="4">
        <v>100</v>
      </c>
      <c r="G82" s="13">
        <v>100</v>
      </c>
      <c r="H82" s="4"/>
      <c r="I82" s="4"/>
      <c r="J82" s="4"/>
      <c r="K82" s="4"/>
      <c r="L82" s="4"/>
      <c r="M82" s="4"/>
      <c r="N82" s="4"/>
      <c r="O82" s="4"/>
      <c r="P82" s="5">
        <f t="shared" si="1"/>
        <v>16.666666666666668</v>
      </c>
      <c r="Q82" s="5">
        <v>39.285833333333336</v>
      </c>
      <c r="R82" s="4">
        <v>45</v>
      </c>
      <c r="S82" s="6"/>
      <c r="T82" s="7"/>
      <c r="U82" s="7"/>
      <c r="V82" s="7"/>
    </row>
    <row r="83" spans="1:22" x14ac:dyDescent="0.35">
      <c r="A83" s="2" t="s">
        <v>113</v>
      </c>
      <c r="B83" s="2">
        <v>10403</v>
      </c>
      <c r="C83" s="4" t="s">
        <v>93</v>
      </c>
      <c r="D83" s="13">
        <v>0</v>
      </c>
      <c r="E83" s="4">
        <v>0</v>
      </c>
      <c r="F83" s="4">
        <v>0</v>
      </c>
      <c r="G83" s="13">
        <v>0</v>
      </c>
      <c r="H83" s="4"/>
      <c r="I83" s="4"/>
      <c r="J83" s="4"/>
      <c r="K83" s="4"/>
      <c r="L83" s="4"/>
      <c r="M83" s="4"/>
      <c r="N83" s="4"/>
      <c r="O83" s="4"/>
      <c r="P83" s="5">
        <f t="shared" si="1"/>
        <v>0</v>
      </c>
      <c r="Q83" s="5">
        <v>20.833333333333332</v>
      </c>
      <c r="R83" s="4">
        <v>16</v>
      </c>
      <c r="S83" s="6"/>
      <c r="T83" s="7"/>
      <c r="U83" s="7"/>
      <c r="V83" s="7"/>
    </row>
    <row r="84" spans="1:22" x14ac:dyDescent="0.35">
      <c r="A84" s="2" t="s">
        <v>113</v>
      </c>
      <c r="B84" s="2">
        <v>10432</v>
      </c>
      <c r="C84" s="4" t="s">
        <v>94</v>
      </c>
      <c r="D84" s="13">
        <v>93.02</v>
      </c>
      <c r="E84" s="4">
        <v>93</v>
      </c>
      <c r="F84" s="4">
        <v>93.84</v>
      </c>
      <c r="G84" s="13">
        <v>94.78</v>
      </c>
      <c r="H84" s="4"/>
      <c r="I84" s="4"/>
      <c r="J84" s="4"/>
      <c r="K84" s="4"/>
      <c r="L84" s="4"/>
      <c r="M84" s="4"/>
      <c r="N84" s="4"/>
      <c r="O84" s="4"/>
      <c r="P84" s="5">
        <f t="shared" si="1"/>
        <v>31.22</v>
      </c>
      <c r="Q84" s="5">
        <v>91.954166666666652</v>
      </c>
      <c r="R84" s="4">
        <v>91.95</v>
      </c>
      <c r="S84" s="6"/>
      <c r="T84" s="7"/>
      <c r="U84" s="7"/>
      <c r="V84" s="7"/>
    </row>
    <row r="85" spans="1:22" x14ac:dyDescent="0.35">
      <c r="A85" s="2" t="s">
        <v>113</v>
      </c>
      <c r="B85" s="2">
        <v>10433</v>
      </c>
      <c r="C85" s="4" t="s">
        <v>95</v>
      </c>
      <c r="D85" s="13">
        <v>92.8</v>
      </c>
      <c r="E85" s="4">
        <v>89</v>
      </c>
      <c r="F85" s="4">
        <v>96</v>
      </c>
      <c r="G85" s="13">
        <v>90.2</v>
      </c>
      <c r="H85" s="4"/>
      <c r="I85" s="4"/>
      <c r="J85" s="4"/>
      <c r="K85" s="4"/>
      <c r="L85" s="4"/>
      <c r="M85" s="4"/>
      <c r="N85" s="4"/>
      <c r="O85" s="4"/>
      <c r="P85" s="5">
        <f t="shared" si="1"/>
        <v>30.666666666666668</v>
      </c>
      <c r="Q85" s="5">
        <v>90.105000000000004</v>
      </c>
      <c r="R85" s="4">
        <v>90.11</v>
      </c>
      <c r="S85" s="6"/>
      <c r="T85" s="7"/>
      <c r="U85" s="7"/>
      <c r="V85" s="7"/>
    </row>
    <row r="86" spans="1:22" x14ac:dyDescent="0.35">
      <c r="F86" s="19"/>
    </row>
    <row r="89" spans="1:22" x14ac:dyDescent="0.35">
      <c r="P89" t="s">
        <v>96</v>
      </c>
    </row>
    <row r="90" spans="1:22" x14ac:dyDescent="0.35">
      <c r="P90" t="s">
        <v>97</v>
      </c>
    </row>
    <row r="91" spans="1:22" x14ac:dyDescent="0.35">
      <c r="P91" t="s">
        <v>98</v>
      </c>
    </row>
    <row r="92" spans="1:22" x14ac:dyDescent="0.35">
      <c r="P92" t="s">
        <v>99</v>
      </c>
    </row>
  </sheetData>
  <autoFilter ref="A2:R85" xr:uid="{0CE927B2-5D7E-4861-8A85-F668FD3F9775}"/>
  <mergeCells count="1">
    <mergeCell ref="Q1:R1"/>
  </mergeCells>
  <pageMargins left="0.70866141732283472" right="0.70866141732283472" top="0.74803149606299213" bottom="0.74803149606299213" header="0.31496062992125984" footer="0.31496062992125984"/>
  <pageSetup scale="27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86B1-0D13-4D8F-B273-F500B865ADDB}">
  <dimension ref="A1:L85"/>
  <sheetViews>
    <sheetView topLeftCell="B1" workbookViewId="0">
      <selection activeCell="L2" sqref="L2"/>
    </sheetView>
  </sheetViews>
  <sheetFormatPr defaultColWidth="10.90625" defaultRowHeight="14.5" x14ac:dyDescent="0.35"/>
  <cols>
    <col min="2" max="2" width="11.54296875" customWidth="1"/>
    <col min="3" max="3" width="19.453125" bestFit="1" customWidth="1"/>
    <col min="4" max="4" width="12.08984375" customWidth="1"/>
    <col min="5" max="5" width="22.6328125" customWidth="1"/>
    <col min="7" max="7" width="23" customWidth="1"/>
  </cols>
  <sheetData>
    <row r="1" spans="1:12" x14ac:dyDescent="0.35">
      <c r="A1" t="s">
        <v>101</v>
      </c>
      <c r="B1" s="11" t="s">
        <v>101</v>
      </c>
      <c r="C1" s="16" t="s">
        <v>102</v>
      </c>
      <c r="D1" s="14" t="s">
        <v>101</v>
      </c>
      <c r="E1" s="14" t="s">
        <v>103</v>
      </c>
      <c r="F1" s="14" t="s">
        <v>101</v>
      </c>
      <c r="G1" s="14" t="s">
        <v>106</v>
      </c>
      <c r="H1" s="11" t="s">
        <v>101</v>
      </c>
      <c r="I1" s="11" t="s">
        <v>104</v>
      </c>
      <c r="J1" s="11" t="s">
        <v>105</v>
      </c>
      <c r="L1" s="14" t="s">
        <v>105</v>
      </c>
    </row>
    <row r="2" spans="1:12" x14ac:dyDescent="0.35">
      <c r="A2" s="2">
        <v>1030</v>
      </c>
      <c r="B2" s="7">
        <v>1030</v>
      </c>
      <c r="C2" s="7">
        <v>1</v>
      </c>
      <c r="D2" s="15">
        <v>1030</v>
      </c>
      <c r="E2" s="15">
        <v>2</v>
      </c>
      <c r="F2" s="15">
        <v>1030</v>
      </c>
      <c r="G2" s="15">
        <v>2</v>
      </c>
      <c r="H2" s="7">
        <v>1030</v>
      </c>
      <c r="I2" s="7">
        <v>64</v>
      </c>
      <c r="J2" s="7">
        <v>1</v>
      </c>
      <c r="L2" s="15">
        <v>5</v>
      </c>
    </row>
    <row r="3" spans="1:12" x14ac:dyDescent="0.35">
      <c r="A3" s="2">
        <v>1080</v>
      </c>
      <c r="B3" s="7">
        <v>1080</v>
      </c>
      <c r="C3" s="7">
        <v>100</v>
      </c>
      <c r="D3" s="15">
        <v>1080</v>
      </c>
      <c r="E3" s="15">
        <v>100</v>
      </c>
      <c r="F3" s="15">
        <v>1080</v>
      </c>
      <c r="G3" s="15">
        <v>100</v>
      </c>
      <c r="H3" s="7">
        <v>1080</v>
      </c>
      <c r="I3" s="7">
        <v>64</v>
      </c>
      <c r="J3" s="7">
        <v>100</v>
      </c>
      <c r="L3" s="15">
        <v>100</v>
      </c>
    </row>
    <row r="4" spans="1:12" x14ac:dyDescent="0.35">
      <c r="A4" s="2">
        <v>1095</v>
      </c>
      <c r="B4" s="7">
        <v>1095</v>
      </c>
      <c r="C4" s="7">
        <v>99</v>
      </c>
      <c r="D4" s="15">
        <v>1095</v>
      </c>
      <c r="E4" s="15">
        <v>99</v>
      </c>
      <c r="F4" s="15">
        <v>1095</v>
      </c>
      <c r="G4" s="15">
        <v>99.8</v>
      </c>
      <c r="H4" s="7">
        <v>1095</v>
      </c>
      <c r="I4" s="7">
        <v>64</v>
      </c>
      <c r="J4" s="7">
        <v>100</v>
      </c>
      <c r="L4" s="15">
        <v>100</v>
      </c>
    </row>
    <row r="5" spans="1:12" x14ac:dyDescent="0.35">
      <c r="A5" s="2">
        <v>1100</v>
      </c>
      <c r="B5" s="7">
        <v>1100</v>
      </c>
      <c r="C5" s="7">
        <v>0</v>
      </c>
      <c r="D5" s="15">
        <v>1100</v>
      </c>
      <c r="E5" s="15">
        <v>0</v>
      </c>
      <c r="F5" s="15">
        <v>1100</v>
      </c>
      <c r="G5" s="15">
        <v>0</v>
      </c>
      <c r="H5" s="7">
        <v>1100</v>
      </c>
      <c r="I5" s="7">
        <v>64</v>
      </c>
      <c r="J5" s="7">
        <v>0</v>
      </c>
      <c r="L5" s="15">
        <v>0</v>
      </c>
    </row>
    <row r="6" spans="1:12" x14ac:dyDescent="0.35">
      <c r="A6" s="2">
        <v>1140</v>
      </c>
      <c r="B6" s="7">
        <v>1140</v>
      </c>
      <c r="C6" s="7">
        <v>0</v>
      </c>
      <c r="D6" s="15">
        <v>1140</v>
      </c>
      <c r="E6" s="15">
        <v>0</v>
      </c>
      <c r="F6" s="15">
        <v>1140</v>
      </c>
      <c r="G6" s="15">
        <v>0</v>
      </c>
      <c r="H6" s="7">
        <v>1140</v>
      </c>
      <c r="I6" s="7">
        <v>64</v>
      </c>
      <c r="J6" s="7">
        <v>0</v>
      </c>
      <c r="L6" s="15">
        <v>0</v>
      </c>
    </row>
    <row r="7" spans="1:12" x14ac:dyDescent="0.35">
      <c r="A7" s="2">
        <v>1200</v>
      </c>
      <c r="B7" s="7">
        <v>1200</v>
      </c>
      <c r="C7" s="7">
        <v>100</v>
      </c>
      <c r="D7" s="15">
        <v>1200</v>
      </c>
      <c r="E7" s="15">
        <v>100</v>
      </c>
      <c r="F7" s="15">
        <v>1200</v>
      </c>
      <c r="G7" s="15">
        <v>100</v>
      </c>
      <c r="H7" s="7">
        <v>1200</v>
      </c>
      <c r="I7" s="7">
        <v>64</v>
      </c>
      <c r="J7" s="7">
        <v>100</v>
      </c>
      <c r="L7" s="15">
        <v>100</v>
      </c>
    </row>
    <row r="8" spans="1:12" x14ac:dyDescent="0.35">
      <c r="A8" s="2">
        <v>1401</v>
      </c>
      <c r="B8" s="7">
        <v>1401</v>
      </c>
      <c r="C8" s="7">
        <v>322</v>
      </c>
      <c r="D8" s="15">
        <v>1401</v>
      </c>
      <c r="E8" s="15">
        <v>338</v>
      </c>
      <c r="F8" s="15">
        <v>1401</v>
      </c>
      <c r="G8" s="15">
        <v>267</v>
      </c>
      <c r="H8" s="7">
        <v>1401</v>
      </c>
      <c r="I8" s="7">
        <v>64</v>
      </c>
      <c r="J8" s="7">
        <v>244</v>
      </c>
      <c r="L8" s="15">
        <v>220</v>
      </c>
    </row>
    <row r="9" spans="1:12" x14ac:dyDescent="0.35">
      <c r="A9" s="2">
        <v>1402</v>
      </c>
      <c r="B9" s="7">
        <v>1402</v>
      </c>
      <c r="C9" s="7">
        <v>93.13</v>
      </c>
      <c r="D9" s="15">
        <v>1402</v>
      </c>
      <c r="E9" s="15">
        <v>97.74</v>
      </c>
      <c r="F9" s="15">
        <v>1402</v>
      </c>
      <c r="G9" s="15">
        <v>97.8</v>
      </c>
      <c r="H9" s="7">
        <v>1402</v>
      </c>
      <c r="I9" s="7">
        <v>64</v>
      </c>
      <c r="J9" s="7">
        <v>98.75</v>
      </c>
      <c r="L9" s="15">
        <v>97.1</v>
      </c>
    </row>
    <row r="10" spans="1:12" x14ac:dyDescent="0.35">
      <c r="A10" s="2">
        <v>1403</v>
      </c>
      <c r="B10" s="7">
        <v>1403</v>
      </c>
      <c r="C10" s="7">
        <v>872</v>
      </c>
      <c r="D10" s="15">
        <v>1403</v>
      </c>
      <c r="E10" s="15">
        <v>-404</v>
      </c>
      <c r="F10" s="15">
        <v>1403</v>
      </c>
      <c r="G10" s="15">
        <v>223</v>
      </c>
      <c r="H10" s="7">
        <v>1403</v>
      </c>
      <c r="I10" s="7">
        <v>64</v>
      </c>
      <c r="J10" s="7">
        <v>-138</v>
      </c>
      <c r="L10" s="15">
        <v>-484</v>
      </c>
    </row>
    <row r="11" spans="1:12" x14ac:dyDescent="0.35">
      <c r="A11" s="2">
        <v>1422</v>
      </c>
      <c r="B11" s="7">
        <v>1422</v>
      </c>
      <c r="C11" s="7">
        <v>0</v>
      </c>
      <c r="D11" s="15">
        <v>1422</v>
      </c>
      <c r="E11" s="15">
        <v>0</v>
      </c>
      <c r="F11" s="15">
        <v>1422</v>
      </c>
      <c r="G11" s="15">
        <v>0</v>
      </c>
      <c r="H11" s="7">
        <v>1422</v>
      </c>
      <c r="I11" s="7">
        <v>64</v>
      </c>
      <c r="J11" s="7">
        <v>0</v>
      </c>
      <c r="L11" s="15">
        <v>0</v>
      </c>
    </row>
    <row r="12" spans="1:12" x14ac:dyDescent="0.35">
      <c r="A12" s="2">
        <v>2040</v>
      </c>
      <c r="B12" s="7">
        <v>2040</v>
      </c>
      <c r="C12" s="7">
        <v>2.29</v>
      </c>
      <c r="D12" s="15">
        <v>2040</v>
      </c>
      <c r="E12" s="15">
        <v>2.1</v>
      </c>
      <c r="F12" s="15">
        <v>2040</v>
      </c>
      <c r="G12" s="15">
        <v>2.09</v>
      </c>
      <c r="H12" s="7">
        <v>2040</v>
      </c>
      <c r="I12" s="7">
        <v>64</v>
      </c>
      <c r="J12" s="7">
        <v>3.58</v>
      </c>
      <c r="L12" s="15">
        <v>3</v>
      </c>
    </row>
    <row r="13" spans="1:12" x14ac:dyDescent="0.35">
      <c r="A13" s="2">
        <v>2041</v>
      </c>
      <c r="B13" s="7">
        <v>2041</v>
      </c>
      <c r="C13" s="7">
        <v>0.84</v>
      </c>
      <c r="D13" s="15">
        <v>2041</v>
      </c>
      <c r="E13" s="15">
        <v>0.57999999999999996</v>
      </c>
      <c r="F13" s="15">
        <v>2041</v>
      </c>
      <c r="G13" s="15">
        <v>0.83</v>
      </c>
      <c r="H13" s="7">
        <v>2041</v>
      </c>
      <c r="I13" s="7">
        <v>64</v>
      </c>
      <c r="J13" s="7">
        <v>0.6</v>
      </c>
      <c r="L13" s="15">
        <v>0.74</v>
      </c>
    </row>
    <row r="14" spans="1:12" x14ac:dyDescent="0.35">
      <c r="A14" s="2">
        <v>2050</v>
      </c>
      <c r="B14" s="7">
        <v>2050</v>
      </c>
      <c r="C14" s="7">
        <v>0</v>
      </c>
      <c r="D14" s="15">
        <v>2050</v>
      </c>
      <c r="E14" s="15">
        <v>0</v>
      </c>
      <c r="F14" s="15">
        <v>2050</v>
      </c>
      <c r="G14" s="15">
        <v>0</v>
      </c>
      <c r="H14" s="7">
        <v>2050</v>
      </c>
      <c r="I14" s="7">
        <v>64</v>
      </c>
      <c r="J14" s="7">
        <v>0</v>
      </c>
      <c r="L14" s="15">
        <v>0</v>
      </c>
    </row>
    <row r="15" spans="1:12" x14ac:dyDescent="0.35">
      <c r="A15" s="2">
        <v>2055</v>
      </c>
      <c r="B15" s="7">
        <v>2055</v>
      </c>
      <c r="C15" s="7">
        <v>1</v>
      </c>
      <c r="D15" s="15">
        <v>2055</v>
      </c>
      <c r="E15" s="15">
        <v>4</v>
      </c>
      <c r="F15" s="15">
        <v>2055</v>
      </c>
      <c r="G15" s="15">
        <v>4</v>
      </c>
      <c r="H15" s="7">
        <v>2055</v>
      </c>
      <c r="I15" s="7">
        <v>64</v>
      </c>
      <c r="J15" s="7">
        <v>4</v>
      </c>
      <c r="L15" s="15">
        <v>0</v>
      </c>
    </row>
    <row r="16" spans="1:12" x14ac:dyDescent="0.35">
      <c r="A16" s="2">
        <v>2080</v>
      </c>
      <c r="B16" s="7">
        <v>2080</v>
      </c>
      <c r="C16" s="7">
        <v>3.2</v>
      </c>
      <c r="D16" s="15">
        <v>2080</v>
      </c>
      <c r="E16" s="15">
        <v>5.32</v>
      </c>
      <c r="F16" s="15">
        <v>2080</v>
      </c>
      <c r="G16" s="15">
        <v>4.1399999999999997</v>
      </c>
      <c r="H16" s="7">
        <v>2080</v>
      </c>
      <c r="I16" s="7">
        <v>64</v>
      </c>
      <c r="J16" s="7">
        <v>6.85</v>
      </c>
      <c r="L16" s="15">
        <v>4.5</v>
      </c>
    </row>
    <row r="17" spans="1:12" x14ac:dyDescent="0.35">
      <c r="A17" s="2">
        <v>2090</v>
      </c>
      <c r="B17" s="7">
        <v>2090</v>
      </c>
      <c r="C17" s="7">
        <v>115.63</v>
      </c>
      <c r="D17" s="15">
        <v>2090</v>
      </c>
      <c r="E17" s="15">
        <v>132.43</v>
      </c>
      <c r="F17" s="15">
        <v>2090</v>
      </c>
      <c r="G17" s="15">
        <v>139.22</v>
      </c>
      <c r="H17" s="7">
        <v>2090</v>
      </c>
      <c r="I17" s="7">
        <v>64</v>
      </c>
      <c r="J17" s="7">
        <v>148.36000000000001</v>
      </c>
      <c r="L17" s="15">
        <v>0</v>
      </c>
    </row>
    <row r="18" spans="1:12" x14ac:dyDescent="0.35">
      <c r="A18" s="2">
        <v>2401</v>
      </c>
      <c r="B18" s="7">
        <v>2401</v>
      </c>
      <c r="C18" s="7">
        <v>1</v>
      </c>
      <c r="D18" s="15">
        <v>2401</v>
      </c>
      <c r="E18" s="15">
        <v>0</v>
      </c>
      <c r="F18" s="15">
        <v>2401</v>
      </c>
      <c r="G18" s="15">
        <v>0</v>
      </c>
      <c r="H18" s="7">
        <v>2401</v>
      </c>
      <c r="I18" s="7">
        <v>64</v>
      </c>
      <c r="J18" s="7">
        <v>0</v>
      </c>
      <c r="L18" s="15">
        <v>0</v>
      </c>
    </row>
    <row r="19" spans="1:12" x14ac:dyDescent="0.35">
      <c r="A19" s="2">
        <v>2402</v>
      </c>
      <c r="B19" s="7">
        <v>2402</v>
      </c>
      <c r="C19" s="7">
        <v>1</v>
      </c>
      <c r="D19" s="15">
        <v>2402</v>
      </c>
      <c r="E19" s="15">
        <v>8</v>
      </c>
      <c r="F19" s="15">
        <v>2402</v>
      </c>
      <c r="G19" s="15">
        <v>6</v>
      </c>
      <c r="H19" s="7">
        <v>2402</v>
      </c>
      <c r="I19" s="7">
        <v>64</v>
      </c>
      <c r="J19" s="7">
        <v>0</v>
      </c>
      <c r="L19" s="15">
        <v>0</v>
      </c>
    </row>
    <row r="20" spans="1:12" x14ac:dyDescent="0.35">
      <c r="A20" s="2">
        <v>2403</v>
      </c>
      <c r="B20" s="7">
        <v>2403</v>
      </c>
      <c r="C20" s="7">
        <v>38</v>
      </c>
      <c r="D20" s="15">
        <v>2403</v>
      </c>
      <c r="E20" s="15">
        <v>14</v>
      </c>
      <c r="F20" s="15">
        <v>2403</v>
      </c>
      <c r="G20" s="15">
        <v>48</v>
      </c>
      <c r="H20" s="7">
        <v>2403</v>
      </c>
      <c r="I20" s="7">
        <v>64</v>
      </c>
      <c r="J20" s="7">
        <v>0</v>
      </c>
      <c r="L20" s="15">
        <v>0</v>
      </c>
    </row>
    <row r="21" spans="1:12" x14ac:dyDescent="0.35">
      <c r="A21" s="2">
        <v>2404</v>
      </c>
      <c r="B21" s="7">
        <v>2404</v>
      </c>
      <c r="C21" s="7">
        <v>2</v>
      </c>
      <c r="D21" s="15">
        <v>2404</v>
      </c>
      <c r="E21" s="15">
        <v>4</v>
      </c>
      <c r="F21" s="15">
        <v>2404</v>
      </c>
      <c r="G21" s="15">
        <v>4</v>
      </c>
      <c r="H21" s="7">
        <v>2404</v>
      </c>
      <c r="I21" s="7">
        <v>64</v>
      </c>
      <c r="J21" s="7">
        <v>0</v>
      </c>
      <c r="L21" s="15">
        <v>0</v>
      </c>
    </row>
    <row r="22" spans="1:12" x14ac:dyDescent="0.35">
      <c r="A22" s="2">
        <v>2405</v>
      </c>
      <c r="B22" s="7">
        <v>2405</v>
      </c>
      <c r="C22" s="7">
        <v>4.5</v>
      </c>
      <c r="D22" s="15">
        <v>2405</v>
      </c>
      <c r="E22" s="15">
        <v>0</v>
      </c>
      <c r="F22" s="15">
        <v>2405</v>
      </c>
      <c r="G22" s="15">
        <v>0</v>
      </c>
      <c r="H22" s="7">
        <v>2405</v>
      </c>
      <c r="I22" s="7">
        <v>64</v>
      </c>
      <c r="J22" s="7">
        <v>0</v>
      </c>
      <c r="L22" s="15">
        <v>0</v>
      </c>
    </row>
    <row r="23" spans="1:12" x14ac:dyDescent="0.35">
      <c r="A23" s="2">
        <v>2410</v>
      </c>
      <c r="B23" s="7">
        <v>2410</v>
      </c>
      <c r="C23" s="7">
        <v>35</v>
      </c>
      <c r="D23" s="15">
        <v>2410</v>
      </c>
      <c r="E23" s="15">
        <v>6</v>
      </c>
      <c r="F23" s="15">
        <v>2410</v>
      </c>
      <c r="G23" s="15">
        <v>41</v>
      </c>
      <c r="H23" s="7">
        <v>2410</v>
      </c>
      <c r="I23" s="7">
        <v>64</v>
      </c>
      <c r="J23" s="7">
        <v>0</v>
      </c>
      <c r="L23" s="15">
        <v>0</v>
      </c>
    </row>
    <row r="24" spans="1:12" x14ac:dyDescent="0.35">
      <c r="A24" s="2">
        <v>2412</v>
      </c>
      <c r="B24" s="7">
        <v>2412</v>
      </c>
      <c r="C24" s="7">
        <v>0</v>
      </c>
      <c r="D24" s="15">
        <v>2412</v>
      </c>
      <c r="E24" s="15">
        <v>0</v>
      </c>
      <c r="F24" s="15">
        <v>2412</v>
      </c>
      <c r="G24" s="15">
        <v>0</v>
      </c>
      <c r="H24" s="7">
        <v>2412</v>
      </c>
      <c r="I24" s="7">
        <v>64</v>
      </c>
      <c r="J24" s="7">
        <v>0</v>
      </c>
      <c r="L24" s="15">
        <v>0</v>
      </c>
    </row>
    <row r="25" spans="1:12" x14ac:dyDescent="0.35">
      <c r="A25" s="2">
        <v>2413</v>
      </c>
      <c r="B25" s="7">
        <v>2413</v>
      </c>
      <c r="C25" s="7">
        <v>5.2999999999999999E-2</v>
      </c>
      <c r="D25" s="15">
        <v>2413</v>
      </c>
      <c r="E25" s="15">
        <v>0</v>
      </c>
      <c r="F25" s="15">
        <v>2413</v>
      </c>
      <c r="G25" s="15">
        <v>0</v>
      </c>
      <c r="H25" s="7">
        <v>2413</v>
      </c>
      <c r="I25" s="7">
        <v>64</v>
      </c>
      <c r="J25" s="7">
        <v>0.14000000000000001</v>
      </c>
      <c r="L25" s="15">
        <v>0</v>
      </c>
    </row>
    <row r="26" spans="1:12" x14ac:dyDescent="0.35">
      <c r="A26" s="2">
        <v>2430</v>
      </c>
      <c r="B26" s="7">
        <v>2430</v>
      </c>
      <c r="C26" s="7">
        <v>471</v>
      </c>
      <c r="D26" s="15">
        <v>2430</v>
      </c>
      <c r="E26" s="15">
        <v>0</v>
      </c>
      <c r="F26" s="15">
        <v>2430</v>
      </c>
      <c r="G26" s="15">
        <v>0</v>
      </c>
      <c r="H26" s="7">
        <v>2430</v>
      </c>
      <c r="I26" s="7">
        <v>64</v>
      </c>
      <c r="J26" s="7">
        <v>0</v>
      </c>
      <c r="L26" s="15">
        <v>0</v>
      </c>
    </row>
    <row r="27" spans="1:12" x14ac:dyDescent="0.35">
      <c r="A27" s="2">
        <v>2431</v>
      </c>
      <c r="B27" s="7">
        <v>2431</v>
      </c>
      <c r="C27" s="7">
        <v>68</v>
      </c>
      <c r="D27" s="15">
        <v>2431</v>
      </c>
      <c r="E27" s="15">
        <v>0</v>
      </c>
      <c r="F27" s="15">
        <v>2431</v>
      </c>
      <c r="G27" s="15">
        <v>18.38</v>
      </c>
      <c r="H27" s="7">
        <v>2431</v>
      </c>
      <c r="I27" s="7">
        <v>64</v>
      </c>
      <c r="J27" s="7">
        <v>0</v>
      </c>
      <c r="L27" s="15">
        <v>0</v>
      </c>
    </row>
    <row r="28" spans="1:12" x14ac:dyDescent="0.35">
      <c r="A28" s="2">
        <v>2432</v>
      </c>
      <c r="B28" s="7">
        <v>2432</v>
      </c>
      <c r="C28" s="7">
        <v>0</v>
      </c>
      <c r="D28" s="15">
        <v>2432</v>
      </c>
      <c r="E28" s="15">
        <v>127</v>
      </c>
      <c r="F28" s="15">
        <v>2432</v>
      </c>
      <c r="G28" s="15">
        <v>0</v>
      </c>
      <c r="H28" s="7">
        <v>2432</v>
      </c>
      <c r="I28" s="7">
        <v>64</v>
      </c>
      <c r="J28" s="7">
        <v>0</v>
      </c>
      <c r="L28" s="15">
        <v>0</v>
      </c>
    </row>
    <row r="29" spans="1:12" x14ac:dyDescent="0.35">
      <c r="A29" s="2">
        <v>2433</v>
      </c>
      <c r="B29" s="7">
        <v>2433</v>
      </c>
      <c r="C29" s="7">
        <v>8.7999999999999995E-2</v>
      </c>
      <c r="D29" s="15">
        <v>2433</v>
      </c>
      <c r="E29" s="15">
        <v>0.313</v>
      </c>
      <c r="F29" s="15">
        <v>2433</v>
      </c>
      <c r="G29" s="15">
        <v>0.48699999999999999</v>
      </c>
      <c r="H29" s="7">
        <v>2433</v>
      </c>
      <c r="I29" s="7">
        <v>64</v>
      </c>
      <c r="J29" s="7">
        <v>0.35399999999999998</v>
      </c>
      <c r="L29" s="15">
        <v>0</v>
      </c>
    </row>
    <row r="30" spans="1:12" x14ac:dyDescent="0.35">
      <c r="A30" s="2">
        <v>4010</v>
      </c>
      <c r="B30" s="7">
        <v>4010</v>
      </c>
      <c r="C30" s="7">
        <v>0.12</v>
      </c>
      <c r="D30" s="15">
        <v>4010</v>
      </c>
      <c r="E30" s="15">
        <v>0.14000000000000001</v>
      </c>
      <c r="F30" s="15">
        <v>4010</v>
      </c>
      <c r="G30" s="15">
        <v>0.19</v>
      </c>
      <c r="H30" s="7">
        <v>4010</v>
      </c>
      <c r="I30" s="7">
        <v>64</v>
      </c>
      <c r="J30" s="7">
        <v>0</v>
      </c>
      <c r="L30" s="15">
        <v>0</v>
      </c>
    </row>
    <row r="31" spans="1:12" x14ac:dyDescent="0.35">
      <c r="A31" s="2">
        <v>4011</v>
      </c>
      <c r="B31" s="7">
        <v>4011</v>
      </c>
      <c r="C31" s="7">
        <v>9</v>
      </c>
      <c r="D31" s="15">
        <v>4011</v>
      </c>
      <c r="E31" s="15">
        <v>12</v>
      </c>
      <c r="F31" s="15">
        <v>4011</v>
      </c>
      <c r="G31" s="15">
        <v>19</v>
      </c>
      <c r="H31" s="7">
        <v>4011</v>
      </c>
      <c r="I31" s="7">
        <v>64</v>
      </c>
      <c r="J31" s="7">
        <v>0</v>
      </c>
      <c r="L31" s="15">
        <v>0</v>
      </c>
    </row>
    <row r="32" spans="1:12" x14ac:dyDescent="0.35">
      <c r="A32" s="2">
        <v>4015</v>
      </c>
      <c r="B32" s="7">
        <v>4015</v>
      </c>
      <c r="C32" s="7">
        <v>271</v>
      </c>
      <c r="D32" s="15">
        <v>4015</v>
      </c>
      <c r="E32" s="15">
        <v>256</v>
      </c>
      <c r="F32" s="15">
        <v>4015</v>
      </c>
      <c r="G32" s="15">
        <v>246</v>
      </c>
      <c r="H32" s="7">
        <v>4015</v>
      </c>
      <c r="I32" s="7">
        <v>64</v>
      </c>
      <c r="J32" s="7">
        <v>0</v>
      </c>
      <c r="L32" s="15">
        <v>0</v>
      </c>
    </row>
    <row r="33" spans="1:12" x14ac:dyDescent="0.35">
      <c r="A33" s="2">
        <v>4030</v>
      </c>
      <c r="B33" s="7">
        <v>4030</v>
      </c>
      <c r="C33" s="7">
        <v>8.86</v>
      </c>
      <c r="D33" s="15">
        <v>4030</v>
      </c>
      <c r="E33" s="15">
        <v>8.7200000000000006</v>
      </c>
      <c r="F33" s="15">
        <v>4030</v>
      </c>
      <c r="G33" s="15">
        <v>0</v>
      </c>
      <c r="H33" s="7">
        <v>4030</v>
      </c>
      <c r="I33" s="7">
        <v>64</v>
      </c>
      <c r="J33" s="7">
        <v>9.81</v>
      </c>
      <c r="L33" s="15">
        <v>10.14</v>
      </c>
    </row>
    <row r="34" spans="1:12" x14ac:dyDescent="0.35">
      <c r="A34" s="2">
        <v>4031</v>
      </c>
      <c r="B34" s="7">
        <v>4031</v>
      </c>
      <c r="C34" s="7">
        <v>9.2100000000000009</v>
      </c>
      <c r="D34" s="15">
        <v>4031</v>
      </c>
      <c r="E34" s="15">
        <v>16.47</v>
      </c>
      <c r="F34" s="15">
        <v>4031</v>
      </c>
      <c r="G34" s="15">
        <v>6.69</v>
      </c>
      <c r="H34" s="7">
        <v>4031</v>
      </c>
      <c r="I34" s="7">
        <v>64</v>
      </c>
      <c r="J34" s="7">
        <v>7.66</v>
      </c>
      <c r="L34" s="15">
        <v>8.2899999999999991</v>
      </c>
    </row>
    <row r="35" spans="1:12" x14ac:dyDescent="0.35">
      <c r="A35" s="2">
        <v>4032</v>
      </c>
      <c r="B35" s="7">
        <v>4032</v>
      </c>
      <c r="C35" s="7">
        <v>19.71</v>
      </c>
      <c r="D35" s="15">
        <v>4032</v>
      </c>
      <c r="E35" s="15">
        <v>25.22</v>
      </c>
      <c r="F35" s="15">
        <v>4032</v>
      </c>
      <c r="G35" s="15">
        <v>15.8</v>
      </c>
      <c r="H35" s="7">
        <v>4032</v>
      </c>
      <c r="I35" s="7">
        <v>64</v>
      </c>
      <c r="J35" s="7">
        <v>18.39</v>
      </c>
      <c r="L35" s="15">
        <v>19.440000000000001</v>
      </c>
    </row>
    <row r="36" spans="1:12" x14ac:dyDescent="0.35">
      <c r="A36" s="2">
        <v>4033</v>
      </c>
      <c r="B36" s="7">
        <v>4033</v>
      </c>
      <c r="C36" s="7">
        <v>0.34</v>
      </c>
      <c r="D36" s="15">
        <v>4033</v>
      </c>
      <c r="E36" s="15">
        <v>0.26</v>
      </c>
      <c r="F36" s="15">
        <v>4033</v>
      </c>
      <c r="G36" s="15">
        <v>0.24</v>
      </c>
      <c r="H36" s="7">
        <v>4033</v>
      </c>
      <c r="I36" s="7">
        <v>64</v>
      </c>
      <c r="J36" s="7">
        <v>0.21</v>
      </c>
      <c r="L36" s="15">
        <v>0.69</v>
      </c>
    </row>
    <row r="37" spans="1:12" x14ac:dyDescent="0.35">
      <c r="A37" s="2">
        <v>4034</v>
      </c>
      <c r="B37" s="7">
        <v>4034</v>
      </c>
      <c r="C37" s="7">
        <v>16.75</v>
      </c>
      <c r="D37" s="15">
        <v>4034</v>
      </c>
      <c r="E37" s="15">
        <v>11.85</v>
      </c>
      <c r="F37" s="15">
        <v>4034</v>
      </c>
      <c r="G37" s="15">
        <v>9.77</v>
      </c>
      <c r="H37" s="7">
        <v>4034</v>
      </c>
      <c r="I37" s="7">
        <v>64</v>
      </c>
      <c r="J37" s="7">
        <v>7.44</v>
      </c>
      <c r="L37" s="15">
        <v>8.52</v>
      </c>
    </row>
    <row r="38" spans="1:12" x14ac:dyDescent="0.35">
      <c r="A38" s="2">
        <v>4035</v>
      </c>
      <c r="B38" s="7">
        <v>4035</v>
      </c>
      <c r="C38" s="7">
        <v>15.57</v>
      </c>
      <c r="D38" s="15">
        <v>4035</v>
      </c>
      <c r="E38" s="15">
        <v>10.3</v>
      </c>
      <c r="F38" s="15">
        <v>4035</v>
      </c>
      <c r="G38" s="15">
        <v>5.54</v>
      </c>
      <c r="H38" s="7">
        <v>4035</v>
      </c>
      <c r="I38" s="7">
        <v>64</v>
      </c>
      <c r="J38" s="7">
        <v>7.54</v>
      </c>
      <c r="L38" s="15">
        <v>8.18</v>
      </c>
    </row>
    <row r="39" spans="1:12" x14ac:dyDescent="0.35">
      <c r="A39" s="2">
        <v>4036</v>
      </c>
      <c r="B39" s="7">
        <v>4036</v>
      </c>
      <c r="C39" s="7">
        <v>6.5</v>
      </c>
      <c r="D39" s="15">
        <v>4036</v>
      </c>
      <c r="E39" s="15">
        <v>5.58</v>
      </c>
      <c r="F39" s="15">
        <v>4036</v>
      </c>
      <c r="G39" s="15">
        <v>4.3</v>
      </c>
      <c r="H39" s="7">
        <v>4036</v>
      </c>
      <c r="I39" s="7">
        <v>64</v>
      </c>
      <c r="J39" s="7">
        <v>3</v>
      </c>
      <c r="L39" s="15">
        <v>4.17</v>
      </c>
    </row>
    <row r="40" spans="1:12" x14ac:dyDescent="0.35">
      <c r="A40" s="2">
        <v>4050</v>
      </c>
      <c r="B40" s="7">
        <v>4050</v>
      </c>
      <c r="C40" s="7">
        <v>89.88</v>
      </c>
      <c r="D40" s="15">
        <v>4050</v>
      </c>
      <c r="E40" s="15">
        <v>90.38</v>
      </c>
      <c r="F40" s="15">
        <v>4050</v>
      </c>
      <c r="G40" s="15">
        <v>86.6</v>
      </c>
      <c r="H40" s="7">
        <v>4050</v>
      </c>
      <c r="I40" s="7">
        <v>64</v>
      </c>
      <c r="J40" s="7">
        <v>90.61</v>
      </c>
      <c r="L40" s="15">
        <v>87.53</v>
      </c>
    </row>
    <row r="41" spans="1:12" x14ac:dyDescent="0.35">
      <c r="A41" s="2">
        <v>4051</v>
      </c>
      <c r="B41" s="7">
        <v>4051</v>
      </c>
      <c r="C41" s="7">
        <v>65</v>
      </c>
      <c r="D41" s="15">
        <v>4051</v>
      </c>
      <c r="E41" s="15">
        <v>63</v>
      </c>
      <c r="F41" s="15">
        <v>4051</v>
      </c>
      <c r="G41" s="15">
        <v>63</v>
      </c>
      <c r="H41" s="7">
        <v>4051</v>
      </c>
      <c r="I41" s="7">
        <v>64</v>
      </c>
      <c r="J41" s="7">
        <v>66</v>
      </c>
      <c r="L41" s="15">
        <v>62</v>
      </c>
    </row>
    <row r="42" spans="1:12" x14ac:dyDescent="0.35">
      <c r="A42" s="2">
        <v>4052</v>
      </c>
      <c r="B42" s="7">
        <v>4052</v>
      </c>
      <c r="C42" s="7">
        <v>62.5</v>
      </c>
      <c r="D42" s="15">
        <v>4052</v>
      </c>
      <c r="E42" s="15">
        <v>63</v>
      </c>
      <c r="F42" s="15">
        <v>4052</v>
      </c>
      <c r="G42" s="15">
        <v>62</v>
      </c>
      <c r="H42" s="7">
        <v>4052</v>
      </c>
      <c r="I42" s="7">
        <v>64</v>
      </c>
      <c r="J42" s="7">
        <v>66.5</v>
      </c>
      <c r="L42" s="15">
        <v>64.5</v>
      </c>
    </row>
    <row r="43" spans="1:12" x14ac:dyDescent="0.35">
      <c r="A43" s="2">
        <v>4060</v>
      </c>
      <c r="B43" s="7">
        <v>4060</v>
      </c>
      <c r="C43" s="7">
        <v>-16</v>
      </c>
      <c r="D43" s="15">
        <v>4060</v>
      </c>
      <c r="E43" s="15">
        <v>-453</v>
      </c>
      <c r="F43" s="15">
        <v>4060</v>
      </c>
      <c r="G43" s="15">
        <v>-358</v>
      </c>
      <c r="H43" s="7">
        <v>4060</v>
      </c>
      <c r="I43" s="7">
        <v>64</v>
      </c>
      <c r="J43" s="7">
        <v>789</v>
      </c>
      <c r="L43" s="15">
        <v>528</v>
      </c>
    </row>
    <row r="44" spans="1:12" x14ac:dyDescent="0.35">
      <c r="A44" s="2">
        <v>4061</v>
      </c>
      <c r="B44" s="7">
        <v>4061</v>
      </c>
      <c r="C44" s="7">
        <v>15.5</v>
      </c>
      <c r="D44" s="15">
        <v>4061</v>
      </c>
      <c r="E44" s="15">
        <v>1562</v>
      </c>
      <c r="F44" s="15">
        <v>4061</v>
      </c>
      <c r="G44" s="15">
        <v>1328</v>
      </c>
      <c r="H44" s="7">
        <v>4061</v>
      </c>
      <c r="I44" s="7">
        <v>64</v>
      </c>
      <c r="J44" s="7">
        <v>1252</v>
      </c>
      <c r="L44" s="15">
        <v>1264</v>
      </c>
    </row>
    <row r="45" spans="1:12" x14ac:dyDescent="0.35">
      <c r="A45" s="2">
        <v>4070</v>
      </c>
      <c r="B45" s="7">
        <v>4070</v>
      </c>
      <c r="C45" s="7">
        <v>19.5</v>
      </c>
      <c r="D45" s="15">
        <v>4070</v>
      </c>
      <c r="E45" s="15">
        <v>20.7</v>
      </c>
      <c r="F45" s="15">
        <v>4070</v>
      </c>
      <c r="G45" s="15">
        <v>19.46</v>
      </c>
      <c r="H45" s="7">
        <v>4070</v>
      </c>
      <c r="I45" s="7">
        <v>64</v>
      </c>
      <c r="J45" s="7">
        <v>18.649999999999999</v>
      </c>
      <c r="L45" s="15">
        <v>18</v>
      </c>
    </row>
    <row r="46" spans="1:12" x14ac:dyDescent="0.35">
      <c r="A46" s="2">
        <v>4080</v>
      </c>
      <c r="B46" s="7">
        <v>4080</v>
      </c>
      <c r="C46" s="7">
        <v>0</v>
      </c>
      <c r="D46" s="15">
        <v>4080</v>
      </c>
      <c r="E46" s="15">
        <v>0</v>
      </c>
      <c r="F46" s="15">
        <v>4080</v>
      </c>
      <c r="G46" s="15">
        <v>0</v>
      </c>
      <c r="H46" s="7">
        <v>4080</v>
      </c>
      <c r="I46" s="7">
        <v>64</v>
      </c>
      <c r="J46" s="7">
        <v>0</v>
      </c>
      <c r="L46" s="15">
        <v>0</v>
      </c>
    </row>
    <row r="47" spans="1:12" x14ac:dyDescent="0.35">
      <c r="A47" s="2">
        <v>4210</v>
      </c>
      <c r="B47" s="7">
        <v>4210</v>
      </c>
      <c r="C47" s="7">
        <v>0</v>
      </c>
      <c r="D47" s="15">
        <v>4210</v>
      </c>
      <c r="E47" s="15">
        <v>0</v>
      </c>
      <c r="F47" s="15">
        <v>4210</v>
      </c>
      <c r="G47" s="15">
        <v>0</v>
      </c>
      <c r="H47" s="7">
        <v>4210</v>
      </c>
      <c r="I47" s="7">
        <v>64</v>
      </c>
      <c r="J47" s="7">
        <v>1</v>
      </c>
      <c r="L47" s="15">
        <v>0</v>
      </c>
    </row>
    <row r="48" spans="1:12" x14ac:dyDescent="0.35">
      <c r="A48" s="2">
        <v>4270</v>
      </c>
      <c r="B48" s="7">
        <v>4270</v>
      </c>
      <c r="C48" s="7">
        <v>5.8</v>
      </c>
      <c r="D48" s="15">
        <v>4270</v>
      </c>
      <c r="E48" s="15">
        <v>6.1</v>
      </c>
      <c r="F48" s="15">
        <v>4270</v>
      </c>
      <c r="G48" s="15">
        <v>6.1</v>
      </c>
      <c r="H48" s="7">
        <v>4270</v>
      </c>
      <c r="I48" s="7">
        <v>64</v>
      </c>
      <c r="J48" s="7">
        <v>12.8</v>
      </c>
      <c r="L48" s="15">
        <v>7.5</v>
      </c>
    </row>
    <row r="49" spans="1:12" x14ac:dyDescent="0.35">
      <c r="A49" s="2">
        <v>4360</v>
      </c>
      <c r="B49" s="7">
        <v>4360</v>
      </c>
      <c r="C49" s="7">
        <v>93</v>
      </c>
      <c r="D49" s="15">
        <v>4360</v>
      </c>
      <c r="E49" s="15">
        <v>92</v>
      </c>
      <c r="F49" s="15">
        <v>4360</v>
      </c>
      <c r="G49" s="15">
        <v>94</v>
      </c>
      <c r="H49" s="7">
        <v>4360</v>
      </c>
      <c r="I49" s="7">
        <v>64</v>
      </c>
      <c r="J49" s="7">
        <v>94</v>
      </c>
      <c r="L49" s="15">
        <v>94</v>
      </c>
    </row>
    <row r="50" spans="1:12" x14ac:dyDescent="0.35">
      <c r="A50" s="2">
        <v>4361</v>
      </c>
      <c r="B50" s="7">
        <v>4361</v>
      </c>
      <c r="C50" s="7">
        <v>154.91</v>
      </c>
      <c r="D50" s="15">
        <v>4361</v>
      </c>
      <c r="E50" s="15">
        <v>231.16</v>
      </c>
      <c r="F50" s="15">
        <v>4361</v>
      </c>
      <c r="G50" s="15">
        <v>115</v>
      </c>
      <c r="H50" s="7">
        <v>4361</v>
      </c>
      <c r="I50" s="7">
        <v>64</v>
      </c>
      <c r="J50" s="7">
        <v>143.01</v>
      </c>
      <c r="L50" s="15">
        <v>110</v>
      </c>
    </row>
    <row r="51" spans="1:12" x14ac:dyDescent="0.35">
      <c r="A51" s="2">
        <v>4362</v>
      </c>
      <c r="B51" s="7">
        <v>4362</v>
      </c>
      <c r="C51" s="7">
        <v>594.70000000000005</v>
      </c>
      <c r="D51" s="15">
        <v>4362</v>
      </c>
      <c r="E51" s="15">
        <v>373</v>
      </c>
      <c r="F51" s="15">
        <v>4362</v>
      </c>
      <c r="G51" s="15">
        <v>322</v>
      </c>
      <c r="H51" s="7">
        <v>4362</v>
      </c>
      <c r="I51" s="7">
        <v>64</v>
      </c>
      <c r="J51" s="7">
        <v>237.8</v>
      </c>
      <c r="L51" s="15">
        <v>356</v>
      </c>
    </row>
    <row r="52" spans="1:12" x14ac:dyDescent="0.35">
      <c r="A52" s="2">
        <v>4366</v>
      </c>
      <c r="B52" s="7">
        <v>4366</v>
      </c>
      <c r="C52" s="7">
        <v>0.34</v>
      </c>
      <c r="D52" s="15">
        <v>4366</v>
      </c>
      <c r="E52" s="15">
        <v>0.65</v>
      </c>
      <c r="F52" s="15">
        <v>4366</v>
      </c>
      <c r="G52" s="15">
        <v>0.27</v>
      </c>
      <c r="H52" s="7">
        <v>4366</v>
      </c>
      <c r="I52" s="7">
        <v>64</v>
      </c>
      <c r="J52" s="7">
        <v>0.3</v>
      </c>
      <c r="L52" s="15">
        <v>0.26</v>
      </c>
    </row>
    <row r="53" spans="1:12" x14ac:dyDescent="0.35">
      <c r="A53" s="2">
        <v>4367</v>
      </c>
      <c r="B53" s="7">
        <v>4367</v>
      </c>
      <c r="C53" s="7">
        <v>0.3</v>
      </c>
      <c r="D53" s="15">
        <v>4367</v>
      </c>
      <c r="E53" s="15">
        <v>0.3</v>
      </c>
      <c r="F53" s="15">
        <v>4367</v>
      </c>
      <c r="G53" s="15">
        <v>0.18</v>
      </c>
      <c r="H53" s="7">
        <v>4367</v>
      </c>
      <c r="I53" s="7">
        <v>64</v>
      </c>
      <c r="J53" s="7">
        <v>0.2</v>
      </c>
      <c r="L53" s="15">
        <v>0.25</v>
      </c>
    </row>
    <row r="54" spans="1:12" x14ac:dyDescent="0.35">
      <c r="A54" s="2">
        <v>4370</v>
      </c>
      <c r="B54" s="7">
        <v>4370</v>
      </c>
      <c r="C54" s="7">
        <v>0.35</v>
      </c>
      <c r="D54" s="15">
        <v>4370</v>
      </c>
      <c r="E54" s="15">
        <v>0.08</v>
      </c>
      <c r="F54" s="15">
        <v>4370</v>
      </c>
      <c r="G54" s="15">
        <v>3.17</v>
      </c>
      <c r="H54" s="7">
        <v>4370</v>
      </c>
      <c r="I54" s="7">
        <v>64</v>
      </c>
      <c r="J54" s="7">
        <v>0.5</v>
      </c>
      <c r="L54" s="15">
        <v>0.81</v>
      </c>
    </row>
    <row r="55" spans="1:12" x14ac:dyDescent="0.35">
      <c r="A55" s="2">
        <v>4372</v>
      </c>
      <c r="B55" s="7">
        <v>4372</v>
      </c>
      <c r="C55" s="7">
        <v>0</v>
      </c>
      <c r="D55" s="15">
        <v>4372</v>
      </c>
      <c r="E55" s="15">
        <v>0</v>
      </c>
      <c r="F55" s="15">
        <v>4372</v>
      </c>
      <c r="G55" s="15">
        <v>3</v>
      </c>
      <c r="H55" s="7">
        <v>4372</v>
      </c>
      <c r="I55" s="7">
        <v>64</v>
      </c>
      <c r="J55" s="7">
        <v>0</v>
      </c>
      <c r="L55" s="15">
        <v>0</v>
      </c>
    </row>
    <row r="56" spans="1:12" x14ac:dyDescent="0.35">
      <c r="A56" s="2">
        <v>4380</v>
      </c>
      <c r="B56" s="7">
        <v>4380</v>
      </c>
      <c r="C56" s="7">
        <v>71.400000000000006</v>
      </c>
      <c r="D56" s="15">
        <v>4380</v>
      </c>
      <c r="E56" s="15">
        <v>60.6</v>
      </c>
      <c r="F56" s="15">
        <v>4380</v>
      </c>
      <c r="G56" s="15">
        <v>52.9</v>
      </c>
      <c r="H56" s="7">
        <v>4380</v>
      </c>
      <c r="I56" s="7">
        <v>64</v>
      </c>
      <c r="J56" s="7">
        <v>50.6</v>
      </c>
      <c r="L56" s="15">
        <v>47.6</v>
      </c>
    </row>
    <row r="57" spans="1:12" x14ac:dyDescent="0.35">
      <c r="A57" s="2">
        <v>4413</v>
      </c>
      <c r="B57" s="7">
        <v>4413</v>
      </c>
      <c r="C57" s="7">
        <v>27.37</v>
      </c>
      <c r="D57" s="15">
        <v>4413</v>
      </c>
      <c r="E57" s="15">
        <v>56</v>
      </c>
      <c r="F57" s="15">
        <v>4413</v>
      </c>
      <c r="G57" s="15">
        <v>52</v>
      </c>
      <c r="H57" s="7">
        <v>4413</v>
      </c>
      <c r="I57" s="7">
        <v>64</v>
      </c>
      <c r="J57" s="7">
        <v>56</v>
      </c>
      <c r="L57" s="15">
        <v>55</v>
      </c>
    </row>
    <row r="58" spans="1:12" x14ac:dyDescent="0.35">
      <c r="A58" s="2">
        <v>4414</v>
      </c>
      <c r="B58" s="7">
        <v>4414</v>
      </c>
      <c r="C58" s="7">
        <v>60</v>
      </c>
      <c r="D58" s="15">
        <v>4414</v>
      </c>
      <c r="E58" s="15">
        <v>61</v>
      </c>
      <c r="F58" s="15">
        <v>4414</v>
      </c>
      <c r="G58" s="15">
        <v>60</v>
      </c>
      <c r="H58" s="7">
        <v>4414</v>
      </c>
      <c r="I58" s="7">
        <v>64</v>
      </c>
      <c r="J58" s="7">
        <v>61</v>
      </c>
      <c r="L58" s="15">
        <v>59</v>
      </c>
    </row>
    <row r="59" spans="1:12" x14ac:dyDescent="0.35">
      <c r="A59" s="2">
        <v>4415</v>
      </c>
      <c r="B59" s="7">
        <v>4415</v>
      </c>
      <c r="C59" s="7">
        <v>65</v>
      </c>
      <c r="D59" s="15">
        <v>4415</v>
      </c>
      <c r="E59" s="15">
        <v>60</v>
      </c>
      <c r="F59" s="15">
        <v>4415</v>
      </c>
      <c r="G59" s="15">
        <v>60</v>
      </c>
      <c r="H59" s="7">
        <v>4415</v>
      </c>
      <c r="I59" s="7">
        <v>64</v>
      </c>
      <c r="J59" s="7">
        <v>66</v>
      </c>
      <c r="L59" s="15">
        <v>68</v>
      </c>
    </row>
    <row r="60" spans="1:12" x14ac:dyDescent="0.35">
      <c r="A60" s="2">
        <v>4416</v>
      </c>
      <c r="B60" s="7">
        <v>4416</v>
      </c>
      <c r="C60" s="7">
        <v>62</v>
      </c>
      <c r="D60" s="15">
        <v>4416</v>
      </c>
      <c r="E60" s="15">
        <v>61</v>
      </c>
      <c r="F60" s="15">
        <v>4416</v>
      </c>
      <c r="G60" s="15">
        <v>61</v>
      </c>
      <c r="H60" s="7">
        <v>4416</v>
      </c>
      <c r="I60" s="7">
        <v>64</v>
      </c>
      <c r="J60" s="7">
        <v>62</v>
      </c>
      <c r="L60" s="15">
        <v>60</v>
      </c>
    </row>
    <row r="61" spans="1:12" x14ac:dyDescent="0.35">
      <c r="A61" s="2">
        <v>4432</v>
      </c>
      <c r="B61" s="7">
        <v>4432</v>
      </c>
      <c r="C61" s="7">
        <v>0</v>
      </c>
      <c r="D61" s="15">
        <v>4432</v>
      </c>
      <c r="E61" s="15">
        <v>0</v>
      </c>
      <c r="F61" s="15">
        <v>4432</v>
      </c>
      <c r="G61" s="15">
        <v>0</v>
      </c>
      <c r="H61" s="7">
        <v>4432</v>
      </c>
      <c r="I61" s="7">
        <v>64</v>
      </c>
      <c r="J61" s="7">
        <v>0</v>
      </c>
      <c r="L61" s="15">
        <v>0</v>
      </c>
    </row>
    <row r="62" spans="1:12" x14ac:dyDescent="0.35">
      <c r="A62" s="2">
        <v>4433</v>
      </c>
      <c r="B62" s="7">
        <v>4433</v>
      </c>
      <c r="C62" s="7">
        <v>0</v>
      </c>
      <c r="D62" s="15">
        <v>4433</v>
      </c>
      <c r="E62" s="15">
        <v>0</v>
      </c>
      <c r="F62" s="15">
        <v>4433</v>
      </c>
      <c r="G62" s="15">
        <v>0</v>
      </c>
      <c r="H62" s="7">
        <v>4433</v>
      </c>
      <c r="I62" s="7">
        <v>64</v>
      </c>
      <c r="J62" s="7">
        <v>0</v>
      </c>
      <c r="L62" s="15">
        <v>0</v>
      </c>
    </row>
    <row r="63" spans="1:12" x14ac:dyDescent="0.35">
      <c r="A63" s="2">
        <v>4435</v>
      </c>
      <c r="B63" s="7">
        <v>4435</v>
      </c>
      <c r="C63" s="7">
        <v>94</v>
      </c>
      <c r="D63" s="15">
        <v>4435</v>
      </c>
      <c r="E63" s="15">
        <v>48</v>
      </c>
      <c r="F63" s="15">
        <v>4435</v>
      </c>
      <c r="G63" s="15">
        <v>38</v>
      </c>
      <c r="H63" s="7">
        <v>4435</v>
      </c>
      <c r="I63" s="7">
        <v>64</v>
      </c>
      <c r="J63" s="7">
        <v>46</v>
      </c>
      <c r="L63" s="15">
        <v>52</v>
      </c>
    </row>
    <row r="64" spans="1:12" x14ac:dyDescent="0.35">
      <c r="A64" s="2">
        <v>4440</v>
      </c>
      <c r="B64" s="7">
        <v>4440</v>
      </c>
      <c r="C64" s="7">
        <v>0</v>
      </c>
      <c r="D64" s="15">
        <v>4440</v>
      </c>
      <c r="E64" s="15">
        <v>2</v>
      </c>
      <c r="F64" s="15">
        <v>4440</v>
      </c>
      <c r="G64" s="15">
        <v>0</v>
      </c>
      <c r="H64" s="7">
        <v>4440</v>
      </c>
      <c r="I64" s="7">
        <v>64</v>
      </c>
      <c r="J64" s="7">
        <v>3</v>
      </c>
      <c r="L64" s="15">
        <v>0</v>
      </c>
    </row>
    <row r="65" spans="1:12" x14ac:dyDescent="0.35">
      <c r="A65" s="2">
        <v>4450</v>
      </c>
      <c r="B65" s="7">
        <v>4450</v>
      </c>
      <c r="C65" s="7">
        <v>100</v>
      </c>
      <c r="D65" s="15">
        <v>4450</v>
      </c>
      <c r="E65" s="15">
        <v>100</v>
      </c>
      <c r="F65" s="15">
        <v>4450</v>
      </c>
      <c r="G65" s="15">
        <v>100</v>
      </c>
      <c r="H65" s="7">
        <v>4450</v>
      </c>
      <c r="I65" s="7">
        <v>64</v>
      </c>
      <c r="J65" s="7">
        <v>77</v>
      </c>
      <c r="L65" s="15">
        <v>100</v>
      </c>
    </row>
    <row r="66" spans="1:12" x14ac:dyDescent="0.35">
      <c r="A66" s="2">
        <v>4470</v>
      </c>
      <c r="B66" s="7">
        <v>4470</v>
      </c>
      <c r="C66" s="7">
        <v>0</v>
      </c>
      <c r="D66" s="15">
        <v>4470</v>
      </c>
      <c r="E66" s="15">
        <v>2</v>
      </c>
      <c r="F66" s="15">
        <v>4470</v>
      </c>
      <c r="G66" s="15">
        <v>0</v>
      </c>
      <c r="H66" s="7">
        <v>4470</v>
      </c>
      <c r="I66" s="7">
        <v>64</v>
      </c>
      <c r="J66" s="7">
        <v>0</v>
      </c>
      <c r="L66" s="15">
        <v>0</v>
      </c>
    </row>
    <row r="67" spans="1:12" x14ac:dyDescent="0.35">
      <c r="A67" s="2">
        <v>4490</v>
      </c>
      <c r="B67" s="7">
        <v>4490</v>
      </c>
      <c r="C67" s="7">
        <v>0</v>
      </c>
      <c r="D67" s="15">
        <v>4490</v>
      </c>
      <c r="E67" s="15">
        <v>32</v>
      </c>
      <c r="F67" s="15">
        <v>4490</v>
      </c>
      <c r="G67" s="15">
        <v>33.5</v>
      </c>
      <c r="H67" s="7">
        <v>4490</v>
      </c>
      <c r="I67" s="7">
        <v>64</v>
      </c>
      <c r="J67" s="7">
        <v>35.1</v>
      </c>
      <c r="L67" s="15">
        <v>34.1</v>
      </c>
    </row>
    <row r="68" spans="1:12" x14ac:dyDescent="0.35">
      <c r="A68" s="2">
        <v>4491</v>
      </c>
      <c r="B68" s="7">
        <v>4491</v>
      </c>
      <c r="C68" s="7">
        <v>0</v>
      </c>
      <c r="D68" s="15">
        <v>4491</v>
      </c>
      <c r="E68" s="15">
        <v>10.5</v>
      </c>
      <c r="F68" s="15">
        <v>4491</v>
      </c>
      <c r="G68" s="15">
        <v>10.039999999999999</v>
      </c>
      <c r="H68" s="7">
        <v>4491</v>
      </c>
      <c r="I68" s="7">
        <v>64</v>
      </c>
      <c r="J68" s="7">
        <v>9.6</v>
      </c>
      <c r="L68" s="15">
        <v>12.6</v>
      </c>
    </row>
    <row r="69" spans="1:12" x14ac:dyDescent="0.35">
      <c r="A69" s="2">
        <v>4500</v>
      </c>
      <c r="B69" s="7">
        <v>4500</v>
      </c>
      <c r="C69" s="7">
        <v>0</v>
      </c>
      <c r="D69" s="15">
        <v>4500</v>
      </c>
      <c r="E69" s="15">
        <v>13</v>
      </c>
      <c r="F69" s="15">
        <v>4500</v>
      </c>
      <c r="G69" s="15">
        <v>15.2</v>
      </c>
      <c r="H69" s="7">
        <v>4500</v>
      </c>
      <c r="I69" s="7">
        <v>64</v>
      </c>
      <c r="J69" s="7">
        <v>12.54</v>
      </c>
      <c r="L69" s="15">
        <v>15.47</v>
      </c>
    </row>
    <row r="70" spans="1:12" x14ac:dyDescent="0.35">
      <c r="A70" s="2">
        <v>4502</v>
      </c>
      <c r="B70" s="7">
        <v>4502</v>
      </c>
      <c r="C70" s="7">
        <v>0</v>
      </c>
      <c r="D70" s="15">
        <v>4502</v>
      </c>
      <c r="E70" s="15">
        <v>7.7</v>
      </c>
      <c r="F70" s="15">
        <v>4502</v>
      </c>
      <c r="G70" s="15">
        <v>10.199999999999999</v>
      </c>
      <c r="H70" s="7">
        <v>4502</v>
      </c>
      <c r="I70" s="7">
        <v>64</v>
      </c>
      <c r="J70" s="7">
        <v>7.12</v>
      </c>
      <c r="L70" s="15">
        <v>7.31</v>
      </c>
    </row>
    <row r="71" spans="1:12" x14ac:dyDescent="0.35">
      <c r="A71" s="2">
        <v>4504</v>
      </c>
      <c r="B71" s="7">
        <v>4504</v>
      </c>
      <c r="C71" s="7">
        <v>0</v>
      </c>
      <c r="D71" s="15">
        <v>4504</v>
      </c>
      <c r="E71" s="15">
        <v>0</v>
      </c>
      <c r="F71" s="15">
        <v>4504</v>
      </c>
      <c r="G71" s="15">
        <v>10492</v>
      </c>
      <c r="H71" s="7">
        <v>4504</v>
      </c>
      <c r="I71" s="7">
        <v>64</v>
      </c>
      <c r="J71" s="7">
        <v>3918</v>
      </c>
      <c r="L71" s="15">
        <v>3910</v>
      </c>
    </row>
    <row r="72" spans="1:12" x14ac:dyDescent="0.35">
      <c r="A72" s="2">
        <v>4510</v>
      </c>
      <c r="B72" s="7">
        <v>4510</v>
      </c>
      <c r="C72" s="7">
        <v>0</v>
      </c>
      <c r="D72" s="15">
        <v>4510</v>
      </c>
      <c r="E72" s="15">
        <v>0</v>
      </c>
      <c r="F72" s="15">
        <v>4510</v>
      </c>
      <c r="G72" s="15">
        <v>0</v>
      </c>
      <c r="H72" s="7">
        <v>4510</v>
      </c>
      <c r="I72" s="7">
        <v>64</v>
      </c>
      <c r="J72" s="7">
        <v>0</v>
      </c>
      <c r="L72" s="15">
        <v>0</v>
      </c>
    </row>
    <row r="73" spans="1:12" x14ac:dyDescent="0.35">
      <c r="A73" s="2">
        <v>4511</v>
      </c>
      <c r="B73" s="7">
        <v>4511</v>
      </c>
      <c r="C73" s="7">
        <v>280</v>
      </c>
      <c r="D73" s="15">
        <v>4511</v>
      </c>
      <c r="E73" s="15">
        <v>0</v>
      </c>
      <c r="F73" s="15">
        <v>4511</v>
      </c>
      <c r="G73" s="15">
        <v>0</v>
      </c>
      <c r="H73" s="7">
        <v>4511</v>
      </c>
      <c r="I73" s="7">
        <v>64</v>
      </c>
      <c r="J73" s="7">
        <v>0</v>
      </c>
      <c r="L73" s="15">
        <v>0</v>
      </c>
    </row>
    <row r="74" spans="1:12" x14ac:dyDescent="0.35">
      <c r="A74" s="2">
        <v>4610</v>
      </c>
      <c r="B74" s="7">
        <v>4610</v>
      </c>
      <c r="C74" s="7">
        <v>18.045999999999999</v>
      </c>
      <c r="D74" s="15">
        <v>4610</v>
      </c>
      <c r="E74" s="15">
        <v>41.61</v>
      </c>
      <c r="F74" s="15">
        <v>4610</v>
      </c>
      <c r="G74" s="15">
        <v>33.756</v>
      </c>
      <c r="H74" s="7">
        <v>4610</v>
      </c>
      <c r="I74" s="7">
        <v>64</v>
      </c>
      <c r="J74" s="7">
        <v>28.373999999999999</v>
      </c>
      <c r="L74" s="15">
        <v>0</v>
      </c>
    </row>
    <row r="75" spans="1:12" x14ac:dyDescent="0.35">
      <c r="A75" s="2">
        <v>4620</v>
      </c>
      <c r="B75" s="7">
        <v>4620</v>
      </c>
      <c r="C75" s="7">
        <v>0</v>
      </c>
      <c r="D75" s="15">
        <v>4620</v>
      </c>
      <c r="E75" s="15">
        <v>0</v>
      </c>
      <c r="F75" s="15">
        <v>4620</v>
      </c>
      <c r="G75" s="15">
        <v>0</v>
      </c>
      <c r="H75" s="7">
        <v>4620</v>
      </c>
      <c r="I75" s="7">
        <v>64</v>
      </c>
      <c r="J75" s="7">
        <v>0</v>
      </c>
      <c r="L75" s="15">
        <v>71</v>
      </c>
    </row>
    <row r="76" spans="1:12" x14ac:dyDescent="0.35">
      <c r="A76" s="2">
        <v>4740</v>
      </c>
      <c r="B76" s="7">
        <v>4740</v>
      </c>
      <c r="C76" s="7">
        <v>0</v>
      </c>
      <c r="D76" s="15">
        <v>4740</v>
      </c>
      <c r="E76" s="15">
        <v>0</v>
      </c>
      <c r="F76" s="15">
        <v>4740</v>
      </c>
      <c r="G76" s="15">
        <v>0</v>
      </c>
      <c r="H76" s="7">
        <v>4740</v>
      </c>
      <c r="I76" s="7">
        <v>64</v>
      </c>
      <c r="J76" s="7">
        <v>0</v>
      </c>
      <c r="L76" s="15">
        <v>0</v>
      </c>
    </row>
    <row r="77" spans="1:12" x14ac:dyDescent="0.35">
      <c r="A77" s="2">
        <v>5030</v>
      </c>
      <c r="B77" s="7">
        <v>5030</v>
      </c>
      <c r="C77" s="7">
        <v>96</v>
      </c>
      <c r="D77" s="15">
        <v>5030</v>
      </c>
      <c r="E77" s="15">
        <v>94</v>
      </c>
      <c r="F77" s="15">
        <v>5030</v>
      </c>
      <c r="G77" s="15">
        <v>90</v>
      </c>
      <c r="H77" s="7">
        <v>5030</v>
      </c>
      <c r="I77" s="7">
        <v>64</v>
      </c>
      <c r="J77" s="7">
        <v>0</v>
      </c>
      <c r="L77" s="15">
        <v>0</v>
      </c>
    </row>
    <row r="78" spans="1:12" x14ac:dyDescent="0.35">
      <c r="A78" s="2">
        <v>5040</v>
      </c>
      <c r="B78" s="7">
        <v>5040</v>
      </c>
      <c r="C78" s="7">
        <v>92</v>
      </c>
      <c r="D78" s="15">
        <v>5040</v>
      </c>
      <c r="E78" s="15">
        <v>95</v>
      </c>
      <c r="F78" s="15">
        <v>5040</v>
      </c>
      <c r="G78" s="15">
        <v>93</v>
      </c>
      <c r="H78" s="7">
        <v>5040</v>
      </c>
      <c r="I78" s="7">
        <v>64</v>
      </c>
      <c r="J78" s="7">
        <v>0</v>
      </c>
      <c r="L78" s="15">
        <v>0</v>
      </c>
    </row>
    <row r="79" spans="1:12" x14ac:dyDescent="0.35">
      <c r="A79" s="2">
        <v>5090</v>
      </c>
      <c r="B79" s="7">
        <v>5090</v>
      </c>
      <c r="C79" s="7">
        <v>0</v>
      </c>
      <c r="D79" s="15">
        <v>5090</v>
      </c>
      <c r="E79" s="15">
        <v>0</v>
      </c>
      <c r="F79" s="15">
        <v>5090</v>
      </c>
      <c r="G79" s="15">
        <v>0</v>
      </c>
      <c r="H79" s="7">
        <v>5090</v>
      </c>
      <c r="I79" s="7">
        <v>64</v>
      </c>
      <c r="J79" s="7">
        <v>2</v>
      </c>
      <c r="L79" s="15">
        <v>0</v>
      </c>
    </row>
    <row r="80" spans="1:12" x14ac:dyDescent="0.35">
      <c r="A80" s="2">
        <v>9403</v>
      </c>
      <c r="B80" s="7">
        <v>9403</v>
      </c>
      <c r="C80" s="7">
        <v>2294</v>
      </c>
      <c r="D80" s="15">
        <v>9403</v>
      </c>
      <c r="E80" s="15">
        <v>2969</v>
      </c>
      <c r="F80" s="15">
        <v>9403</v>
      </c>
      <c r="G80" s="15">
        <v>2699</v>
      </c>
      <c r="H80" s="7">
        <v>9403</v>
      </c>
      <c r="I80" s="7">
        <v>64</v>
      </c>
      <c r="J80" s="7">
        <v>1484.8</v>
      </c>
      <c r="L80" s="15">
        <v>1484</v>
      </c>
    </row>
    <row r="81" spans="1:12" x14ac:dyDescent="0.35">
      <c r="A81" s="2">
        <v>9406</v>
      </c>
      <c r="B81" s="7">
        <v>9406</v>
      </c>
      <c r="C81" s="7">
        <v>0.2</v>
      </c>
      <c r="D81" s="15">
        <v>9406</v>
      </c>
      <c r="E81" s="15">
        <v>0.19</v>
      </c>
      <c r="F81" s="15">
        <v>9406</v>
      </c>
      <c r="G81" s="15">
        <v>0.18</v>
      </c>
      <c r="H81" s="7">
        <v>9406</v>
      </c>
      <c r="I81" s="7">
        <v>64</v>
      </c>
      <c r="J81" s="7">
        <v>0.2</v>
      </c>
      <c r="L81" s="15">
        <v>0.18</v>
      </c>
    </row>
    <row r="82" spans="1:12" x14ac:dyDescent="0.35">
      <c r="A82" s="2">
        <v>10401</v>
      </c>
      <c r="B82" s="7">
        <v>10401</v>
      </c>
      <c r="C82" s="7">
        <v>0</v>
      </c>
      <c r="D82" s="15">
        <v>10401</v>
      </c>
      <c r="E82" s="15">
        <v>0</v>
      </c>
      <c r="F82" s="15">
        <v>10401</v>
      </c>
      <c r="G82" s="15">
        <v>0</v>
      </c>
      <c r="H82" s="7">
        <v>10401</v>
      </c>
      <c r="I82" s="7">
        <v>64</v>
      </c>
      <c r="J82" s="7">
        <v>100</v>
      </c>
      <c r="L82" s="15">
        <v>0</v>
      </c>
    </row>
    <row r="83" spans="1:12" x14ac:dyDescent="0.35">
      <c r="A83" s="2">
        <v>10403</v>
      </c>
      <c r="B83" s="7">
        <v>10403</v>
      </c>
      <c r="C83" s="7">
        <v>0</v>
      </c>
      <c r="D83" s="15">
        <v>10403</v>
      </c>
      <c r="E83" s="15">
        <v>0</v>
      </c>
      <c r="F83" s="15">
        <v>10403</v>
      </c>
      <c r="G83" s="15">
        <v>1</v>
      </c>
      <c r="H83" s="7">
        <v>10403</v>
      </c>
      <c r="I83" s="7">
        <v>64</v>
      </c>
      <c r="J83" s="7">
        <v>0</v>
      </c>
      <c r="L83" s="15">
        <v>0</v>
      </c>
    </row>
    <row r="84" spans="1:12" x14ac:dyDescent="0.35">
      <c r="A84" s="2">
        <v>10432</v>
      </c>
      <c r="B84" s="7">
        <v>10432</v>
      </c>
      <c r="C84" s="7">
        <v>93.73</v>
      </c>
      <c r="D84" s="15">
        <v>10432</v>
      </c>
      <c r="E84" s="15">
        <v>93.02</v>
      </c>
      <c r="F84" s="15">
        <v>10432</v>
      </c>
      <c r="G84" s="15">
        <v>93</v>
      </c>
      <c r="H84" s="7">
        <v>10432</v>
      </c>
      <c r="I84" s="7">
        <v>64</v>
      </c>
      <c r="J84" s="7">
        <v>94.78</v>
      </c>
      <c r="L84" s="15">
        <v>0</v>
      </c>
    </row>
    <row r="85" spans="1:12" x14ac:dyDescent="0.35">
      <c r="A85" s="2">
        <v>10433</v>
      </c>
      <c r="B85" s="7">
        <v>10433</v>
      </c>
      <c r="C85" s="7">
        <v>89.79</v>
      </c>
      <c r="D85" s="15">
        <v>10433</v>
      </c>
      <c r="E85" s="15">
        <v>92.8</v>
      </c>
      <c r="F85" s="15">
        <v>10433</v>
      </c>
      <c r="G85" s="15">
        <v>89</v>
      </c>
      <c r="H85" s="7">
        <v>10433</v>
      </c>
      <c r="I85" s="7">
        <v>64</v>
      </c>
      <c r="J85" s="7">
        <v>0</v>
      </c>
      <c r="L85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JV. Velichcanich</dc:creator>
  <cp:lastModifiedBy>Jose Hernandez</cp:lastModifiedBy>
  <cp:lastPrinted>2026-05-25T15:57:01Z</cp:lastPrinted>
  <dcterms:created xsi:type="dcterms:W3CDTF">2026-04-20T17:21:06Z</dcterms:created>
  <dcterms:modified xsi:type="dcterms:W3CDTF">2026-06-16T13:53:30Z</dcterms:modified>
</cp:coreProperties>
</file>